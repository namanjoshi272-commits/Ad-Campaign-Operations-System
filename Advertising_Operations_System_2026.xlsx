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2a968d810d0951/Documents/"/>
    </mc:Choice>
  </mc:AlternateContent>
  <xr:revisionPtr revIDLastSave="0" documentId="8_{3E0DDB82-DD3F-490D-95F9-55E5E3124CC4}" xr6:coauthVersionLast="47" xr6:coauthVersionMax="47" xr10:uidLastSave="{00000000-0000-0000-0000-000000000000}"/>
  <bookViews>
    <workbookView xWindow="-120" yWindow="-120" windowWidth="20730" windowHeight="11040" activeTab="2" xr2:uid="{B32CAB47-4BB6-41DE-BAE2-9E7F97B02A99}"/>
  </bookViews>
  <sheets>
    <sheet name="Main Data" sheetId="1" r:id="rId1"/>
    <sheet name="Vendor_Master" sheetId="2" r:id="rId2"/>
    <sheet name="MIS_Dashboard" sheetId="3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I1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2" i="1"/>
</calcChain>
</file>

<file path=xl/sharedStrings.xml><?xml version="1.0" encoding="utf-8"?>
<sst xmlns="http://schemas.openxmlformats.org/spreadsheetml/2006/main" count="657" uniqueCount="253">
  <si>
    <t>Order_ID</t>
  </si>
  <si>
    <t>Client_Name</t>
  </si>
  <si>
    <t>Ad_Type</t>
  </si>
  <si>
    <t>Vendor_Name</t>
  </si>
  <si>
    <t>Country</t>
  </si>
  <si>
    <t>Order_Date</t>
  </si>
  <si>
    <t>Campaign_Deadline</t>
  </si>
  <si>
    <t>Total_Cost_INR</t>
  </si>
  <si>
    <t>Order_Status</t>
  </si>
  <si>
    <t>ADV-001</t>
  </si>
  <si>
    <t>Reliance Digital</t>
  </si>
  <si>
    <t>Billboard</t>
  </si>
  <si>
    <t>Pioneer Media</t>
  </si>
  <si>
    <t>Local</t>
  </si>
  <si>
    <t>Completed</t>
  </si>
  <si>
    <t>ADV-002</t>
  </si>
  <si>
    <t>Tata Motors</t>
  </si>
  <si>
    <t>Digital</t>
  </si>
  <si>
    <t>TechVertise Ltd</t>
  </si>
  <si>
    <t>In-Production</t>
  </si>
  <si>
    <t>ADV-003</t>
  </si>
  <si>
    <t>HDFC Bank</t>
  </si>
  <si>
    <t>Print</t>
  </si>
  <si>
    <t>Bennett Coleman</t>
  </si>
  <si>
    <t>ADV-004</t>
  </si>
  <si>
    <t>Global Ads Corp</t>
  </si>
  <si>
    <t>International</t>
  </si>
  <si>
    <t>Delayed</t>
  </si>
  <si>
    <t>ADV-005</t>
  </si>
  <si>
    <t>Zomato</t>
  </si>
  <si>
    <t>Signage Masters</t>
  </si>
  <si>
    <t>Pending</t>
  </si>
  <si>
    <t>ADV-006</t>
  </si>
  <si>
    <t>Unilever</t>
  </si>
  <si>
    <t>HT Media</t>
  </si>
  <si>
    <t>ADV-007</t>
  </si>
  <si>
    <t>Samsung</t>
  </si>
  <si>
    <t>Pixel Craft</t>
  </si>
  <si>
    <t>ADV-008</t>
  </si>
  <si>
    <t>Flipkart</t>
  </si>
  <si>
    <t>Prime Out-of-Home</t>
  </si>
  <si>
    <t>ADV-009</t>
  </si>
  <si>
    <t>USA</t>
  </si>
  <si>
    <t>ADV-010</t>
  </si>
  <si>
    <t>Airtel</t>
  </si>
  <si>
    <t>Indian Express</t>
  </si>
  <si>
    <t>ADV-011</t>
  </si>
  <si>
    <t>Marico</t>
  </si>
  <si>
    <t>ADV-012</t>
  </si>
  <si>
    <t>Myntra</t>
  </si>
  <si>
    <t>ADV-013</t>
  </si>
  <si>
    <t>ITC Limited</t>
  </si>
  <si>
    <t>ADV-014</t>
  </si>
  <si>
    <t>Oneplus</t>
  </si>
  <si>
    <t>ADV-015</t>
  </si>
  <si>
    <t>Nykaa</t>
  </si>
  <si>
    <t>ADV-016</t>
  </si>
  <si>
    <t>Ola Electric</t>
  </si>
  <si>
    <t>ADV-017</t>
  </si>
  <si>
    <t>PepsiCo</t>
  </si>
  <si>
    <t>ADV-018</t>
  </si>
  <si>
    <t>Swiggy</t>
  </si>
  <si>
    <t>ADV-019</t>
  </si>
  <si>
    <t>ADV-020</t>
  </si>
  <si>
    <t>Nestle</t>
  </si>
  <si>
    <t>ADV-021</t>
  </si>
  <si>
    <t>Jio</t>
  </si>
  <si>
    <t>ADV-022</t>
  </si>
  <si>
    <t>Ajio</t>
  </si>
  <si>
    <t>ADV-023</t>
  </si>
  <si>
    <t>Mahindra</t>
  </si>
  <si>
    <t>ADV-024</t>
  </si>
  <si>
    <t>UK</t>
  </si>
  <si>
    <t>ADV-025</t>
  </si>
  <si>
    <t>Mamaearth</t>
  </si>
  <si>
    <t>ADV-026</t>
  </si>
  <si>
    <t>Britannia</t>
  </si>
  <si>
    <t>ADV-027</t>
  </si>
  <si>
    <t>Hyundai</t>
  </si>
  <si>
    <t>ADV-028</t>
  </si>
  <si>
    <t>Blinkit</t>
  </si>
  <si>
    <t>ADV-029</t>
  </si>
  <si>
    <t>Microsoft</t>
  </si>
  <si>
    <t>ADV-030</t>
  </si>
  <si>
    <t>Amul</t>
  </si>
  <si>
    <t>ADV-031</t>
  </si>
  <si>
    <t>Godrej</t>
  </si>
  <si>
    <t>ADV-032</t>
  </si>
  <si>
    <t>ADV-033</t>
  </si>
  <si>
    <t>Dabur</t>
  </si>
  <si>
    <t>ADV-034</t>
  </si>
  <si>
    <t>ADV-035</t>
  </si>
  <si>
    <t>Lenskart</t>
  </si>
  <si>
    <t>ADV-036</t>
  </si>
  <si>
    <t>Asian Paints</t>
  </si>
  <si>
    <t>ADV-037</t>
  </si>
  <si>
    <t>CRED</t>
  </si>
  <si>
    <t>ADV-038</t>
  </si>
  <si>
    <t>Fastrack</t>
  </si>
  <si>
    <t>ADV-039</t>
  </si>
  <si>
    <t>Singapore</t>
  </si>
  <si>
    <t>ADV-040</t>
  </si>
  <si>
    <t>ICICI Bank</t>
  </si>
  <si>
    <t>ADV-041</t>
  </si>
  <si>
    <t>Indigo Airlines</t>
  </si>
  <si>
    <t>ADV-042</t>
  </si>
  <si>
    <t>Boat Lifestyle</t>
  </si>
  <si>
    <t>ADV-043</t>
  </si>
  <si>
    <t>Cadbury</t>
  </si>
  <si>
    <t>ADV-044</t>
  </si>
  <si>
    <t>ADV-045</t>
  </si>
  <si>
    <t>Urban Company</t>
  </si>
  <si>
    <t>ADV-046</t>
  </si>
  <si>
    <t>Tata Play</t>
  </si>
  <si>
    <t>ADV-047</t>
  </si>
  <si>
    <t>ADV-048</t>
  </si>
  <si>
    <t>Zepto</t>
  </si>
  <si>
    <t>ADV-049</t>
  </si>
  <si>
    <t>Lenovo</t>
  </si>
  <si>
    <t>Hong Kong</t>
  </si>
  <si>
    <t>ADV-050</t>
  </si>
  <si>
    <t>Axis Bank</t>
  </si>
  <si>
    <t>ADV-051</t>
  </si>
  <si>
    <t>Vi (Vodafone Idea)</t>
  </si>
  <si>
    <t>ADV-052</t>
  </si>
  <si>
    <t>ADV-053</t>
  </si>
  <si>
    <t>Colgate</t>
  </si>
  <si>
    <t>ADV-054</t>
  </si>
  <si>
    <t>LG Electronics</t>
  </si>
  <si>
    <t>ADV-055</t>
  </si>
  <si>
    <t>PolicyBazaar</t>
  </si>
  <si>
    <t>ADV-056</t>
  </si>
  <si>
    <t>Parle Products</t>
  </si>
  <si>
    <t>ADV-057</t>
  </si>
  <si>
    <t>Realme</t>
  </si>
  <si>
    <t>ADV-058</t>
  </si>
  <si>
    <t>PhonePe</t>
  </si>
  <si>
    <t>ADV-059</t>
  </si>
  <si>
    <t>Amazon Prime</t>
  </si>
  <si>
    <t>ADV-060</t>
  </si>
  <si>
    <t>Kotak Bank</t>
  </si>
  <si>
    <t>ADV-061</t>
  </si>
  <si>
    <t>Maruti Suzuki</t>
  </si>
  <si>
    <t>ADV-062</t>
  </si>
  <si>
    <t>Reebok</t>
  </si>
  <si>
    <t>ADV-063</t>
  </si>
  <si>
    <t>ADV-064</t>
  </si>
  <si>
    <t>Panasonic</t>
  </si>
  <si>
    <t>ADV-065</t>
  </si>
  <si>
    <t>Meesho</t>
  </si>
  <si>
    <t>ADV-066</t>
  </si>
  <si>
    <t>Raymond</t>
  </si>
  <si>
    <t>ADV-067</t>
  </si>
  <si>
    <t>Vivo</t>
  </si>
  <si>
    <t>ADV-068</t>
  </si>
  <si>
    <t>Dunzo</t>
  </si>
  <si>
    <t>ADV-069</t>
  </si>
  <si>
    <t>ADV-070</t>
  </si>
  <si>
    <t>SBI Card</t>
  </si>
  <si>
    <t>ADV-071</t>
  </si>
  <si>
    <t>Mahindra SUVs</t>
  </si>
  <si>
    <t>ADV-072</t>
  </si>
  <si>
    <t>Skechers</t>
  </si>
  <si>
    <t>ADV-073</t>
  </si>
  <si>
    <t>Godrej Interio</t>
  </si>
  <si>
    <t>ADV-074</t>
  </si>
  <si>
    <t>ADV-075</t>
  </si>
  <si>
    <t>CaratLane</t>
  </si>
  <si>
    <t>ADV-076</t>
  </si>
  <si>
    <t>Titan</t>
  </si>
  <si>
    <t>ADV-077</t>
  </si>
  <si>
    <t>Paytm</t>
  </si>
  <si>
    <t>ADV-078</t>
  </si>
  <si>
    <t>1mg</t>
  </si>
  <si>
    <t>ADV-079</t>
  </si>
  <si>
    <t>ADV-080</t>
  </si>
  <si>
    <t>IndusInd Bank</t>
  </si>
  <si>
    <t>ADV-081</t>
  </si>
  <si>
    <t>MG Motors</t>
  </si>
  <si>
    <t>ADV-082</t>
  </si>
  <si>
    <t>Asics</t>
  </si>
  <si>
    <t>ADV-083</t>
  </si>
  <si>
    <t>Blue Star</t>
  </si>
  <si>
    <t>ADV-084</t>
  </si>
  <si>
    <t>ADV-085</t>
  </si>
  <si>
    <t>Pepperfry</t>
  </si>
  <si>
    <t>ADV-086</t>
  </si>
  <si>
    <t>Haldiram's</t>
  </si>
  <si>
    <t>ADV-087</t>
  </si>
  <si>
    <t>ADV-088</t>
  </si>
  <si>
    <t>JioCinema</t>
  </si>
  <si>
    <t>ADV-089</t>
  </si>
  <si>
    <t>ADV-090</t>
  </si>
  <si>
    <t>Yes Bank</t>
  </si>
  <si>
    <t>ADV-091</t>
  </si>
  <si>
    <t>KIA Motors</t>
  </si>
  <si>
    <t>ADV-092</t>
  </si>
  <si>
    <t>Under Armour</t>
  </si>
  <si>
    <t>ADV-093</t>
  </si>
  <si>
    <t>ADV-094</t>
  </si>
  <si>
    <t>Whirlpool</t>
  </si>
  <si>
    <t>ADV-095</t>
  </si>
  <si>
    <t>Wakefit</t>
  </si>
  <si>
    <t>ADV-096</t>
  </si>
  <si>
    <t>Siyarams</t>
  </si>
  <si>
    <t>ADV-097</t>
  </si>
  <si>
    <t>Oppo</t>
  </si>
  <si>
    <t>ADV-098</t>
  </si>
  <si>
    <t>Urban Ladder</t>
  </si>
  <si>
    <t>ADV-099</t>
  </si>
  <si>
    <t>SonyLiv</t>
  </si>
  <si>
    <t>ADV-100</t>
  </si>
  <si>
    <t>IDFC First</t>
  </si>
  <si>
    <t xml:space="preserve">Local </t>
  </si>
  <si>
    <t xml:space="preserve">Nike Local </t>
  </si>
  <si>
    <t xml:space="preserve">Amazon Local </t>
  </si>
  <si>
    <t>Local n Express</t>
  </si>
  <si>
    <t xml:space="preserve">Google Local </t>
  </si>
  <si>
    <t xml:space="preserve">Apple Local </t>
  </si>
  <si>
    <t xml:space="preserve">Puma Local </t>
  </si>
  <si>
    <t xml:space="preserve">Sony Local </t>
  </si>
  <si>
    <t xml:space="preserve">HP Local </t>
  </si>
  <si>
    <t xml:space="preserve">Dell Local </t>
  </si>
  <si>
    <t xml:space="preserve">Uber Local </t>
  </si>
  <si>
    <t xml:space="preserve">Adidas Local </t>
  </si>
  <si>
    <t xml:space="preserve">P&amp;G Local </t>
  </si>
  <si>
    <t xml:space="preserve">Netflix Local </t>
  </si>
  <si>
    <t xml:space="preserve">Canon Local </t>
  </si>
  <si>
    <t xml:space="preserve">Intel Local </t>
  </si>
  <si>
    <t xml:space="preserve">Philips Local </t>
  </si>
  <si>
    <t xml:space="preserve">IQOO Local </t>
  </si>
  <si>
    <t xml:space="preserve">Adobe Local </t>
  </si>
  <si>
    <t xml:space="preserve">Loreal Local </t>
  </si>
  <si>
    <t>Available_Days</t>
  </si>
  <si>
    <t>Vendor_Email</t>
  </si>
  <si>
    <t>Operational_Tier</t>
  </si>
  <si>
    <t>ops@pioneermedia.in</t>
  </si>
  <si>
    <t>Tier 1 (Premium)</t>
  </si>
  <si>
    <t>campaigns@techvertise.com</t>
  </si>
  <si>
    <t>Tier 2 (Standard)</t>
  </si>
  <si>
    <t>print@bennettcoleman.in</t>
  </si>
  <si>
    <t>globalops@globalads.com</t>
  </si>
  <si>
    <t>delhi.ops@signagemasters.com</t>
  </si>
  <si>
    <t>Tier 3 (Local)</t>
  </si>
  <si>
    <t>scheduling@htmedia.in</t>
  </si>
  <si>
    <t>production@pixelcraft.studio</t>
  </si>
  <si>
    <t>ooh@primeoutdoors.in</t>
  </si>
  <si>
    <t>ads@indianexpress.com</t>
  </si>
  <si>
    <t>ops.internal@agency.com</t>
  </si>
  <si>
    <t>Row Labels</t>
  </si>
  <si>
    <t>Grand Total</t>
  </si>
  <si>
    <t>Count of Order_ID</t>
  </si>
  <si>
    <t>Sum of Total_Cost_INR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</si>
</sst>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;@"/>
    <numFmt numFmtId="172" formatCode="[$₹-4009]\ #,##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5" fontId="0" fillId="0" borderId="0" xfId="0" applyNumberFormat="1"/>
    <xf numFmtId="165" fontId="2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NumberFormat="1"/>
    <xf numFmtId="0" fontId="5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Fill="1" applyBorder="1" applyAlignment="1">
      <alignment horizontal="center" vertical="center" wrapText="1" readingOrder="1"/>
    </xf>
    <xf numFmtId="0" fontId="3" fillId="0" borderId="3" xfId="1" applyFill="1" applyBorder="1" applyAlignment="1">
      <alignment horizontal="center" vertical="center" wrapText="1" readingOrder="1"/>
    </xf>
    <xf numFmtId="0" fontId="3" fillId="0" borderId="2" xfId="1" applyBorder="1" applyAlignment="1">
      <alignment horizontal="center" vertical="center" wrapText="1" readingOrder="1"/>
    </xf>
    <xf numFmtId="172" fontId="2" fillId="0" borderId="1" xfId="0" applyNumberFormat="1" applyFont="1" applyBorder="1" applyAlignment="1">
      <alignment horizontal="center" vertical="center" wrapText="1"/>
    </xf>
    <xf numFmtId="172" fontId="1" fillId="0" borderId="1" xfId="0" applyNumberFormat="1" applyFont="1" applyBorder="1" applyAlignment="1">
      <alignment horizontal="center" vertical="center" wrapText="1"/>
    </xf>
    <xf numFmtId="17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[Advertising_Operations_System_2026.xlsx]MIS_Dashboard!PivotTable1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MIS_Dashboard!$B$1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MIS_Dashboard!$A$2:$A$6</c:f>
              <c:strCache>
                <c:ptCount val="4"/>
                <c:pt idx="0">
                  <c:v>Completed</c:v>
                </c:pt>
                <c:pt idx="1">
                  <c:v>Delayed</c:v>
                </c:pt>
                <c:pt idx="2">
                  <c:v>In-Production</c:v>
                </c:pt>
                <c:pt idx="3">
                  <c:v>Pending</c:v>
                </c:pt>
              </c:strCache>
            </c:strRef>
          </c:cat>
          <c:val>
            <c:numRef>
              <c:f>MIS_Dashboard!$B$2:$B$6</c:f>
              <c:numCache>
                <c:formatCode>General</c:formatCode>
                <c:ptCount val="4"/>
                <c:pt idx="0">
                  <c:v>31</c:v>
                </c:pt>
                <c:pt idx="1">
                  <c:v>19</c:v>
                </c:pt>
                <c:pt idx="2">
                  <c:v>30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C-4E49-8BE1-A121F1BEB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918941382327202"/>
          <c:y val="4.1295202682997946E-2"/>
          <c:w val="0.18414391951006123"/>
          <c:h val="0.37976851851851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0</xdr:rowOff>
    </xdr:from>
    <xdr:to>
      <xdr:col>7</xdr:col>
      <xdr:colOff>409575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A1542D-091B-2719-55EB-9DFA40C1B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1.732300231481" createdVersion="8" refreshedVersion="8" minRefreshableVersion="3" recordCount="100" xr:uid="{42E05D04-3AE6-4496-B62E-EF1FDAAB9B34}">
  <cacheSource type="worksheet">
    <worksheetSource ref="A1:K101" sheet="Main Data"/>
  </cacheSource>
  <cacheFields count="11">
    <cacheField name="Order_ID" numFmtId="0">
      <sharedItems/>
    </cacheField>
    <cacheField name="Client_Name" numFmtId="0">
      <sharedItems/>
    </cacheField>
    <cacheField name="Ad_Type" numFmtId="0">
      <sharedItems count="3">
        <s v="Billboard"/>
        <s v="Digital"/>
        <s v="Print"/>
      </sharedItems>
    </cacheField>
    <cacheField name="Vendor_Name" numFmtId="0">
      <sharedItems/>
    </cacheField>
    <cacheField name="Vendor_Email" numFmtId="0">
      <sharedItems/>
    </cacheField>
    <cacheField name="Country" numFmtId="0">
      <sharedItems/>
    </cacheField>
    <cacheField name="Order_Date" numFmtId="165">
      <sharedItems containsSemiMixedTypes="0" containsNonDate="0" containsDate="1" containsString="0" minDate="2026-04-12T00:00:00" maxDate="2026-06-16T00:00:00"/>
    </cacheField>
    <cacheField name="Campaign_Deadline" numFmtId="165">
      <sharedItems containsSemiMixedTypes="0" containsNonDate="0" containsDate="1" containsString="0" minDate="2026-04-20T00:00:00" maxDate="2026-07-23T00:00:00"/>
    </cacheField>
    <cacheField name="Available_Days" numFmtId="0">
      <sharedItems containsSemiMixedTypes="0" containsString="0" containsNumber="1" containsInteger="1" minValue="6" maxValue="41"/>
    </cacheField>
    <cacheField name="Total_Cost_INR" numFmtId="172">
      <sharedItems containsSemiMixedTypes="0" containsString="0" containsNumber="1" containsInteger="1" minValue="95000" maxValue="2200000"/>
    </cacheField>
    <cacheField name="Order_Status" numFmtId="0">
      <sharedItems count="4">
        <s v="Completed"/>
        <s v="In-Production"/>
        <s v="Delayed"/>
        <s v="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ADV-001"/>
    <s v="Reliance Digital"/>
    <x v="0"/>
    <s v="Pioneer Media"/>
    <s v="ops@pioneermedia.in"/>
    <s v="Local"/>
    <d v="2026-04-12T00:00:00"/>
    <d v="2026-04-28T00:00:00"/>
    <n v="16"/>
    <n v="150000"/>
    <x v="0"/>
  </r>
  <r>
    <s v="ADV-002"/>
    <s v="Tata Motors"/>
    <x v="1"/>
    <s v="TechVertise Ltd"/>
    <s v="campaigns@techvertise.com"/>
    <s v="Local "/>
    <d v="2026-04-13T00:00:00"/>
    <d v="2026-05-02T00:00:00"/>
    <n v="19"/>
    <n v="450000"/>
    <x v="1"/>
  </r>
  <r>
    <s v="ADV-003"/>
    <s v="HDFC Bank"/>
    <x v="2"/>
    <s v="Bennett Coleman"/>
    <s v="print@bennettcoleman.in"/>
    <s v="Local"/>
    <d v="2026-04-14T00:00:00"/>
    <d v="2026-04-20T00:00:00"/>
    <n v="6"/>
    <n v="275000"/>
    <x v="0"/>
  </r>
  <r>
    <s v="ADV-004"/>
    <s v="Nike Local "/>
    <x v="1"/>
    <s v="Global Ads Corp"/>
    <s v="globalops@globalads.com"/>
    <s v="International"/>
    <d v="2026-04-15T00:00:00"/>
    <d v="2026-05-10T00:00:00"/>
    <n v="25"/>
    <n v="850000"/>
    <x v="2"/>
  </r>
  <r>
    <s v="ADV-005"/>
    <s v="Zomato"/>
    <x v="0"/>
    <s v="Signage Masters"/>
    <s v="delhi.ops@signagemasters.com"/>
    <s v="Local"/>
    <d v="2026-04-16T00:00:00"/>
    <d v="2026-05-05T00:00:00"/>
    <n v="19"/>
    <n v="120000"/>
    <x v="3"/>
  </r>
  <r>
    <s v="ADV-006"/>
    <s v="Unilever"/>
    <x v="2"/>
    <s v="HT Media"/>
    <s v="scheduling@htmedia.in"/>
    <s v="Local "/>
    <d v="2026-04-16T00:00:00"/>
    <d v="2026-04-25T00:00:00"/>
    <n v="9"/>
    <n v="310000"/>
    <x v="0"/>
  </r>
  <r>
    <s v="ADV-007"/>
    <s v="Samsung"/>
    <x v="1"/>
    <s v="Pixel Craft"/>
    <s v="production@pixelcraft.studio"/>
    <s v="International"/>
    <d v="2026-04-17T00:00:00"/>
    <d v="2026-05-15T00:00:00"/>
    <n v="28"/>
    <n v="1200000"/>
    <x v="1"/>
  </r>
  <r>
    <s v="ADV-008"/>
    <s v="Flipkart"/>
    <x v="0"/>
    <s v="Prime Out-of-Home"/>
    <s v="ooh@primeoutdoors.in"/>
    <s v="Local"/>
    <d v="2026-04-18T00:00:00"/>
    <d v="2026-05-01T00:00:00"/>
    <n v="13"/>
    <n v="210000"/>
    <x v="2"/>
  </r>
  <r>
    <s v="ADV-009"/>
    <s v="Amazon Local "/>
    <x v="1"/>
    <s v="TechVertise Ltd"/>
    <s v="campaigns@techvertise.com"/>
    <s v="USA"/>
    <d v="2026-04-19T00:00:00"/>
    <d v="2026-05-12T00:00:00"/>
    <n v="23"/>
    <n v="640000"/>
    <x v="1"/>
  </r>
  <r>
    <s v="ADV-010"/>
    <s v="Airtel"/>
    <x v="2"/>
    <s v="Local n Express"/>
    <s v="ops.internal@agency.com"/>
    <s v="Local"/>
    <d v="2026-04-20T00:00:00"/>
    <d v="2026-04-29T00:00:00"/>
    <n v="9"/>
    <n v="95000"/>
    <x v="0"/>
  </r>
  <r>
    <s v="ADV-011"/>
    <s v="Marico"/>
    <x v="0"/>
    <s v="Pioneer Media"/>
    <s v="ops@pioneermedia.in"/>
    <s v="Local "/>
    <d v="2026-04-21T00:00:00"/>
    <d v="2026-05-08T00:00:00"/>
    <n v="17"/>
    <n v="180000"/>
    <x v="3"/>
  </r>
  <r>
    <s v="ADV-012"/>
    <s v="Myntra"/>
    <x v="1"/>
    <s v="Global Ads Corp"/>
    <s v="globalops@globalads.com"/>
    <s v="International"/>
    <d v="2026-04-22T00:00:00"/>
    <d v="2026-05-18T00:00:00"/>
    <n v="26"/>
    <n v="550000"/>
    <x v="1"/>
  </r>
  <r>
    <s v="ADV-013"/>
    <s v="ITC Limited"/>
    <x v="2"/>
    <s v="Bennett Coleman"/>
    <s v="print@bennettcoleman.in"/>
    <s v="Local"/>
    <d v="2026-04-22T00:00:00"/>
    <d v="2026-04-30T00:00:00"/>
    <n v="8"/>
    <n v="420000"/>
    <x v="0"/>
  </r>
  <r>
    <s v="ADV-014"/>
    <s v="Oneplus"/>
    <x v="1"/>
    <s v="Pixel Craft"/>
    <s v="production@pixelcraft.studio"/>
    <s v="International"/>
    <d v="2026-04-23T00:00:00"/>
    <d v="2026-05-14T00:00:00"/>
    <n v="21"/>
    <n v="980000"/>
    <x v="1"/>
  </r>
  <r>
    <s v="ADV-015"/>
    <s v="Nykaa"/>
    <x v="0"/>
    <s v="Signage Masters"/>
    <s v="delhi.ops@signagemasters.com"/>
    <s v="Local"/>
    <d v="2026-04-24T00:00:00"/>
    <d v="2026-05-07T00:00:00"/>
    <n v="13"/>
    <n v="135000"/>
    <x v="2"/>
  </r>
  <r>
    <s v="ADV-016"/>
    <s v="Ola Electric"/>
    <x v="1"/>
    <s v="TechVertise Ltd"/>
    <s v="campaigns@techvertise.com"/>
    <s v="Local "/>
    <d v="2026-04-25T00:00:00"/>
    <d v="2026-05-20T00:00:00"/>
    <n v="25"/>
    <n v="720000"/>
    <x v="3"/>
  </r>
  <r>
    <s v="ADV-017"/>
    <s v="PepsiCo"/>
    <x v="2"/>
    <s v="HT Media"/>
    <s v="scheduling@htmedia.in"/>
    <s v="Local"/>
    <d v="2026-04-26T00:00:00"/>
    <d v="2026-05-04T00:00:00"/>
    <n v="8"/>
    <n v="290000"/>
    <x v="0"/>
  </r>
  <r>
    <s v="ADV-018"/>
    <s v="Swiggy"/>
    <x v="0"/>
    <s v="Prime Out-of-Home"/>
    <s v="ooh@primeoutdoors.in"/>
    <s v="Local"/>
    <d v="2026-04-27T00:00:00"/>
    <d v="2026-05-10T00:00:00"/>
    <n v="13"/>
    <n v="240000"/>
    <x v="1"/>
  </r>
  <r>
    <s v="ADV-019"/>
    <s v="Google Local "/>
    <x v="1"/>
    <s v="Global Ads Corp"/>
    <s v="globalops@globalads.com"/>
    <s v="USA"/>
    <d v="2026-04-28T00:00:00"/>
    <d v="2026-05-25T00:00:00"/>
    <n v="27"/>
    <n v="1550000"/>
    <x v="3"/>
  </r>
  <r>
    <s v="ADV-020"/>
    <s v="Nestle"/>
    <x v="2"/>
    <s v="Local n Express"/>
    <s v="ops.internal@agency.com"/>
    <s v="Local "/>
    <d v="2026-04-28T00:00:00"/>
    <d v="2026-05-06T00:00:00"/>
    <n v="8"/>
    <n v="115000"/>
    <x v="0"/>
  </r>
  <r>
    <s v="ADV-021"/>
    <s v="Jio"/>
    <x v="0"/>
    <s v="Pioneer Media"/>
    <s v="ops@pioneermedia.in"/>
    <s v="Local"/>
    <d v="2026-04-29T00:00:00"/>
    <d v="2026-05-15T00:00:00"/>
    <n v="16"/>
    <n v="320000"/>
    <x v="2"/>
  </r>
  <r>
    <s v="ADV-022"/>
    <s v="Ajio"/>
    <x v="1"/>
    <s v="Pixel Craft"/>
    <s v="production@pixelcraft.studio"/>
    <s v="International"/>
    <d v="2026-04-30T00:00:00"/>
    <d v="2026-05-22T00:00:00"/>
    <n v="22"/>
    <n v="480000"/>
    <x v="1"/>
  </r>
  <r>
    <s v="ADV-023"/>
    <s v="Mahindra"/>
    <x v="2"/>
    <s v="Bennett Coleman"/>
    <s v="print@bennettcoleman.in"/>
    <s v="Local"/>
    <d v="2026-05-01T00:00:00"/>
    <d v="2026-05-12T00:00:00"/>
    <n v="11"/>
    <n v="500000"/>
    <x v="0"/>
  </r>
  <r>
    <s v="ADV-024"/>
    <s v="Apple Local "/>
    <x v="1"/>
    <s v="Global Ads Corp"/>
    <s v="globalops@globalads.com"/>
    <s v="UK"/>
    <d v="2026-05-02T00:00:00"/>
    <d v="2026-05-30T00:00:00"/>
    <n v="28"/>
    <n v="2200000"/>
    <x v="1"/>
  </r>
  <r>
    <s v="ADV-025"/>
    <s v="Mamaearth"/>
    <x v="0"/>
    <s v="Signage Masters"/>
    <s v="delhi.ops@signagemasters.com"/>
    <s v="Local"/>
    <d v="2026-05-03T00:00:00"/>
    <d v="2026-05-18T00:00:00"/>
    <n v="15"/>
    <n v="95000"/>
    <x v="3"/>
  </r>
  <r>
    <s v="ADV-026"/>
    <s v="Britannia"/>
    <x v="2"/>
    <s v="HT Media"/>
    <s v="scheduling@htmedia.in"/>
    <s v="Local "/>
    <d v="2026-05-04T00:00:00"/>
    <d v="2026-05-15T00:00:00"/>
    <n v="11"/>
    <n v="190000"/>
    <x v="0"/>
  </r>
  <r>
    <s v="ADV-027"/>
    <s v="Hyundai"/>
    <x v="1"/>
    <s v="TechVertise Ltd"/>
    <s v="campaigns@techvertise.com"/>
    <s v="International"/>
    <d v="2026-05-05T00:00:00"/>
    <d v="2026-05-28T00:00:00"/>
    <n v="23"/>
    <n v="810000"/>
    <x v="1"/>
  </r>
  <r>
    <s v="ADV-028"/>
    <s v="Blinkit"/>
    <x v="0"/>
    <s v="Prime Out-of-Home"/>
    <s v="ooh@primeoutdoors.in"/>
    <s v="Local"/>
    <d v="2026-05-05T00:00:00"/>
    <d v="2026-05-14T00:00:00"/>
    <n v="9"/>
    <n v="260000"/>
    <x v="2"/>
  </r>
  <r>
    <s v="ADV-029"/>
    <s v="Microsoft"/>
    <x v="1"/>
    <s v="Pixel Craft"/>
    <s v="production@pixelcraft.studio"/>
    <s v="USA"/>
    <d v="2026-05-06T00:00:00"/>
    <d v="2026-06-02T00:00:00"/>
    <n v="27"/>
    <n v="1340000"/>
    <x v="3"/>
  </r>
  <r>
    <s v="ADV-030"/>
    <s v="Amul"/>
    <x v="2"/>
    <s v="Local n Express"/>
    <s v="ops.internal@agency.com"/>
    <s v="Local"/>
    <d v="2026-05-07T00:00:00"/>
    <d v="2026-05-16T00:00:00"/>
    <n v="9"/>
    <n v="350000"/>
    <x v="0"/>
  </r>
  <r>
    <s v="ADV-031"/>
    <s v="Godrej"/>
    <x v="0"/>
    <s v="Pioneer Media"/>
    <s v="ops@pioneermedia.in"/>
    <s v="Local "/>
    <d v="2026-05-08T00:00:00"/>
    <d v="2026-05-25T00:00:00"/>
    <n v="17"/>
    <n v="175000"/>
    <x v="1"/>
  </r>
  <r>
    <s v="ADV-032"/>
    <s v="Puma Local "/>
    <x v="1"/>
    <s v="Global Ads Corp"/>
    <s v="globalops@globalads.com"/>
    <s v="International"/>
    <d v="2026-05-09T00:00:00"/>
    <d v="2026-06-05T00:00:00"/>
    <n v="27"/>
    <n v="620000"/>
    <x v="2"/>
  </r>
  <r>
    <s v="ADV-033"/>
    <s v="Dabur"/>
    <x v="2"/>
    <s v="Bennett Coleman"/>
    <s v="print@bennettcoleman.in"/>
    <s v="Local"/>
    <d v="2026-05-10T00:00:00"/>
    <d v="2026-05-22T00:00:00"/>
    <n v="12"/>
    <n v="215000"/>
    <x v="0"/>
  </r>
  <r>
    <s v="ADV-034"/>
    <s v="Sony Local "/>
    <x v="1"/>
    <s v="TechVertise Ltd"/>
    <s v="campaigns@techvertise.com"/>
    <s v="International"/>
    <d v="2026-05-11T00:00:00"/>
    <d v="2026-06-10T00:00:00"/>
    <n v="30"/>
    <n v="1100000"/>
    <x v="1"/>
  </r>
  <r>
    <s v="ADV-035"/>
    <s v="Lenskart"/>
    <x v="0"/>
    <s v="Signage Masters"/>
    <s v="delhi.ops@signagemasters.com"/>
    <s v="Local"/>
    <d v="2026-05-12T00:00:00"/>
    <d v="2026-05-26T00:00:00"/>
    <n v="14"/>
    <n v="145000"/>
    <x v="3"/>
  </r>
  <r>
    <s v="ADV-036"/>
    <s v="Asian Paints"/>
    <x v="2"/>
    <s v="HT Media"/>
    <s v="scheduling@htmedia.in"/>
    <s v="Local "/>
    <d v="2026-04-13T00:00:00"/>
    <d v="2026-04-28T00:00:00"/>
    <n v="15"/>
    <n v="480000"/>
    <x v="0"/>
  </r>
  <r>
    <s v="ADV-037"/>
    <s v="CRED"/>
    <x v="1"/>
    <s v="Pixel Craft"/>
    <s v="production@pixelcraft.studio"/>
    <s v="International"/>
    <d v="2026-04-14T00:00:00"/>
    <d v="2026-05-10T00:00:00"/>
    <n v="26"/>
    <n v="920000"/>
    <x v="1"/>
  </r>
  <r>
    <s v="ADV-038"/>
    <s v="Fastrack"/>
    <x v="0"/>
    <s v="Prime Out-of-Home"/>
    <s v="ooh@primeoutdoors.in"/>
    <s v="Local"/>
    <d v="2026-04-15T00:00:00"/>
    <d v="2026-05-02T00:00:00"/>
    <n v="17"/>
    <n v="225000"/>
    <x v="2"/>
  </r>
  <r>
    <s v="ADV-039"/>
    <s v="HP Local "/>
    <x v="1"/>
    <s v="Global Ads Corp"/>
    <s v="globalops@globalads.com"/>
    <s v="Singapore"/>
    <d v="2026-04-16T00:00:00"/>
    <d v="2026-05-20T00:00:00"/>
    <n v="34"/>
    <n v="760000"/>
    <x v="3"/>
  </r>
  <r>
    <s v="ADV-040"/>
    <s v="ICICI Bank"/>
    <x v="2"/>
    <s v="Local n Express"/>
    <s v="ops.internal@agency.com"/>
    <s v="Local"/>
    <d v="2026-04-17T00:00:00"/>
    <d v="2026-04-26T00:00:00"/>
    <n v="9"/>
    <n v="130000"/>
    <x v="0"/>
  </r>
  <r>
    <s v="ADV-041"/>
    <s v="Indigo Airlines"/>
    <x v="0"/>
    <s v="Pioneer Media"/>
    <s v="ops@pioneermedia.in"/>
    <s v="Local "/>
    <d v="2026-04-18T00:00:00"/>
    <d v="2026-05-05T00:00:00"/>
    <n v="17"/>
    <n v="390000"/>
    <x v="1"/>
  </r>
  <r>
    <s v="ADV-042"/>
    <s v="Boat Lifestyle"/>
    <x v="1"/>
    <s v="TechVertise Ltd"/>
    <s v="campaigns@techvertise.com"/>
    <s v="International"/>
    <d v="2026-04-19T00:00:00"/>
    <d v="2026-05-15T00:00:00"/>
    <n v="26"/>
    <n v="580000"/>
    <x v="1"/>
  </r>
  <r>
    <s v="ADV-043"/>
    <s v="Cadbury"/>
    <x v="2"/>
    <s v="Bennett Coleman"/>
    <s v="print@bennettcoleman.in"/>
    <s v="Local"/>
    <d v="2026-04-20T00:00:00"/>
    <d v="2026-05-01T00:00:00"/>
    <n v="11"/>
    <n v="340000"/>
    <x v="0"/>
  </r>
  <r>
    <s v="ADV-044"/>
    <s v="Dell Local "/>
    <x v="1"/>
    <s v="Pixel Craft"/>
    <s v="production@pixelcraft.studio"/>
    <s v="International"/>
    <d v="2026-04-21T00:00:00"/>
    <d v="2026-05-24T00:00:00"/>
    <n v="33"/>
    <n v="1400000"/>
    <x v="2"/>
  </r>
  <r>
    <s v="ADV-045"/>
    <s v="Urban Company"/>
    <x v="0"/>
    <s v="Signage Masters"/>
    <s v="delhi.ops@signagemasters.com"/>
    <s v="Local"/>
    <d v="2026-04-22T00:00:00"/>
    <d v="2026-05-12T00:00:00"/>
    <n v="20"/>
    <n v="165000"/>
    <x v="3"/>
  </r>
  <r>
    <s v="ADV-046"/>
    <s v="Tata Play"/>
    <x v="2"/>
    <s v="HT Media"/>
    <s v="scheduling@htmedia.in"/>
    <s v="Local "/>
    <d v="2026-04-23T00:00:00"/>
    <d v="2026-05-05T00:00:00"/>
    <n v="12"/>
    <n v="210000"/>
    <x v="0"/>
  </r>
  <r>
    <s v="ADV-047"/>
    <s v="Uber Local "/>
    <x v="1"/>
    <s v="Global Ads Corp"/>
    <s v="globalops@globalads.com"/>
    <s v="International"/>
    <d v="2026-04-24T00:00:00"/>
    <d v="2026-05-18T00:00:00"/>
    <n v="24"/>
    <n v="890000"/>
    <x v="1"/>
  </r>
  <r>
    <s v="ADV-048"/>
    <s v="Zepto"/>
    <x v="0"/>
    <s v="Prime Out-of-Home"/>
    <s v="ooh@primeoutdoors.in"/>
    <s v="Local"/>
    <d v="2026-04-25T00:00:00"/>
    <d v="2026-05-09T00:00:00"/>
    <n v="14"/>
    <n v="280000"/>
    <x v="2"/>
  </r>
  <r>
    <s v="ADV-049"/>
    <s v="Lenovo"/>
    <x v="1"/>
    <s v="TechVertise Ltd"/>
    <s v="campaigns@techvertise.com"/>
    <s v="Hong Kong"/>
    <d v="2026-04-26T00:00:00"/>
    <d v="2026-06-01T00:00:00"/>
    <n v="36"/>
    <n v="1150000"/>
    <x v="3"/>
  </r>
  <r>
    <s v="ADV-050"/>
    <s v="Axis Bank"/>
    <x v="2"/>
    <s v="Local n Express"/>
    <s v="ops.internal@agency.com"/>
    <s v="Local"/>
    <d v="2026-04-27T00:00:00"/>
    <d v="2026-05-08T00:00:00"/>
    <n v="11"/>
    <n v="185000"/>
    <x v="0"/>
  </r>
  <r>
    <s v="ADV-051"/>
    <s v="Vi (Vodafone Idea)"/>
    <x v="0"/>
    <s v="Pioneer Media"/>
    <s v="ops@pioneermedia.in"/>
    <s v="Local "/>
    <d v="2026-04-28T00:00:00"/>
    <d v="2026-05-20T00:00:00"/>
    <n v="22"/>
    <n v="410000"/>
    <x v="1"/>
  </r>
  <r>
    <s v="ADV-052"/>
    <s v="Adidas Local "/>
    <x v="1"/>
    <s v="Pixel Craft"/>
    <s v="production@pixelcraft.studio"/>
    <s v="International"/>
    <d v="2026-04-29T00:00:00"/>
    <d v="2026-06-03T00:00:00"/>
    <n v="35"/>
    <n v="670000"/>
    <x v="2"/>
  </r>
  <r>
    <s v="ADV-053"/>
    <s v="Colgate"/>
    <x v="2"/>
    <s v="Bennett Coleman"/>
    <s v="print@bennettcoleman.in"/>
    <s v="Local"/>
    <d v="2026-04-30T00:00:00"/>
    <d v="2026-05-14T00:00:00"/>
    <n v="14"/>
    <n v="255000"/>
    <x v="0"/>
  </r>
  <r>
    <s v="ADV-054"/>
    <s v="LG Electronics"/>
    <x v="1"/>
    <s v="Global Ads Corp"/>
    <s v="globalops@globalads.com"/>
    <s v="International"/>
    <d v="2026-05-01T00:00:00"/>
    <d v="2026-05-28T00:00:00"/>
    <n v="27"/>
    <n v="1020000"/>
    <x v="1"/>
  </r>
  <r>
    <s v="ADV-055"/>
    <s v="PolicyBazaar"/>
    <x v="0"/>
    <s v="Signage Masters"/>
    <s v="delhi.ops@signagemasters.com"/>
    <s v="Local"/>
    <d v="2026-05-02T00:00:00"/>
    <d v="2026-05-19T00:00:00"/>
    <n v="17"/>
    <n v="110000"/>
    <x v="3"/>
  </r>
  <r>
    <s v="ADV-056"/>
    <s v="Parle Products"/>
    <x v="2"/>
    <s v="HT Media"/>
    <s v="scheduling@htmedia.in"/>
    <s v="Local "/>
    <d v="2026-05-03T00:00:00"/>
    <d v="2026-05-12T00:00:00"/>
    <n v="9"/>
    <n v="140000"/>
    <x v="0"/>
  </r>
  <r>
    <s v="ADV-057"/>
    <s v="Realme"/>
    <x v="1"/>
    <s v="TechVertise Ltd"/>
    <s v="campaigns@techvertise.com"/>
    <s v="International"/>
    <d v="2026-05-04T00:00:00"/>
    <d v="2026-05-25T00:00:00"/>
    <n v="21"/>
    <n v="730000"/>
    <x v="1"/>
  </r>
  <r>
    <s v="ADV-058"/>
    <s v="PhonePe"/>
    <x v="0"/>
    <s v="Prime Out-of-Home"/>
    <s v="ooh@primeoutdoors.in"/>
    <s v="Local"/>
    <d v="2026-05-04T00:00:00"/>
    <d v="2026-05-16T00:00:00"/>
    <n v="12"/>
    <n v="310000"/>
    <x v="2"/>
  </r>
  <r>
    <s v="ADV-059"/>
    <s v="Amazon Prime"/>
    <x v="1"/>
    <s v="Pixel Craft"/>
    <s v="production@pixelcraft.studio"/>
    <s v="USA"/>
    <d v="2026-05-05T00:00:00"/>
    <d v="2026-06-08T00:00:00"/>
    <n v="34"/>
    <n v="1600000"/>
    <x v="3"/>
  </r>
  <r>
    <s v="ADV-060"/>
    <s v="Kotak Bank"/>
    <x v="2"/>
    <s v="Local n Express"/>
    <s v="ops.internal@agency.com"/>
    <s v="Local"/>
    <d v="2026-05-06T00:00:00"/>
    <d v="2026-05-18T00:00:00"/>
    <n v="12"/>
    <n v="220000"/>
    <x v="0"/>
  </r>
  <r>
    <s v="ADV-061"/>
    <s v="Maruti Suzuki"/>
    <x v="0"/>
    <s v="Pioneer Media"/>
    <s v="ops@pioneermedia.in"/>
    <s v="Local "/>
    <d v="2026-05-07T00:00:00"/>
    <d v="2026-05-30T00:00:00"/>
    <n v="23"/>
    <n v="540000"/>
    <x v="1"/>
  </r>
  <r>
    <s v="ADV-062"/>
    <s v="Reebok"/>
    <x v="1"/>
    <s v="Global Ads Corp"/>
    <s v="globalops@globalads.com"/>
    <s v="International"/>
    <d v="2026-05-08T00:00:00"/>
    <d v="2026-06-12T00:00:00"/>
    <n v="35"/>
    <n v="590000"/>
    <x v="2"/>
  </r>
  <r>
    <s v="ADV-063"/>
    <s v="P&amp;G Local "/>
    <x v="2"/>
    <s v="Bennett Coleman"/>
    <s v="print@bennettcoleman.in"/>
    <s v="Local"/>
    <d v="2026-05-09T00:00:00"/>
    <d v="2026-05-24T00:00:00"/>
    <n v="15"/>
    <n v="380000"/>
    <x v="0"/>
  </r>
  <r>
    <s v="ADV-064"/>
    <s v="Panasonic"/>
    <x v="1"/>
    <s v="TechVertise Ltd"/>
    <s v="campaigns@techvertise.com"/>
    <s v="International"/>
    <d v="2026-05-10T00:00:00"/>
    <d v="2026-06-15T00:00:00"/>
    <n v="36"/>
    <n v="850000"/>
    <x v="1"/>
  </r>
  <r>
    <s v="ADV-065"/>
    <s v="Meesho"/>
    <x v="0"/>
    <s v="Signage Masters"/>
    <s v="delhi.ops@signagemasters.com"/>
    <s v="Local"/>
    <d v="2026-05-11T00:00:00"/>
    <d v="2026-06-02T00:00:00"/>
    <n v="22"/>
    <n v="195000"/>
    <x v="3"/>
  </r>
  <r>
    <s v="ADV-066"/>
    <s v="Raymond"/>
    <x v="2"/>
    <s v="HT Media"/>
    <s v="scheduling@htmedia.in"/>
    <s v="Local "/>
    <d v="2026-05-12T00:00:00"/>
    <d v="2026-05-26T00:00:00"/>
    <n v="14"/>
    <n v="265000"/>
    <x v="0"/>
  </r>
  <r>
    <s v="ADV-067"/>
    <s v="Vivo"/>
    <x v="1"/>
    <s v="Pixel Craft"/>
    <s v="production@pixelcraft.studio"/>
    <s v="International"/>
    <d v="2026-05-13T00:00:00"/>
    <d v="2026-06-10T00:00:00"/>
    <n v="28"/>
    <n v="910000"/>
    <x v="1"/>
  </r>
  <r>
    <s v="ADV-068"/>
    <s v="Dunzo"/>
    <x v="0"/>
    <s v="Prime Out-of-Home"/>
    <s v="ooh@primeoutdoors.in"/>
    <s v="Local"/>
    <d v="2026-05-14T00:00:00"/>
    <d v="2026-05-29T00:00:00"/>
    <n v="15"/>
    <n v="215000"/>
    <x v="2"/>
  </r>
  <r>
    <s v="ADV-069"/>
    <s v="Netflix Local "/>
    <x v="1"/>
    <s v="Global Ads Corp"/>
    <s v="globalops@globalads.com"/>
    <s v="USA"/>
    <d v="2026-05-15T00:00:00"/>
    <d v="2026-06-20T00:00:00"/>
    <n v="36"/>
    <n v="1850000"/>
    <x v="3"/>
  </r>
  <r>
    <s v="ADV-070"/>
    <s v="SBI Card"/>
    <x v="2"/>
    <s v="Local n Express"/>
    <s v="ops.internal@agency.com"/>
    <s v="Local"/>
    <d v="2026-05-16T00:00:00"/>
    <d v="2026-05-28T00:00:00"/>
    <n v="12"/>
    <n v="410000"/>
    <x v="0"/>
  </r>
  <r>
    <s v="ADV-071"/>
    <s v="Mahindra SUVs"/>
    <x v="0"/>
    <s v="Pioneer Media"/>
    <s v="ops@pioneermedia.in"/>
    <s v="Local "/>
    <d v="2026-05-17T00:00:00"/>
    <d v="2026-06-12T00:00:00"/>
    <n v="26"/>
    <n v="620000"/>
    <x v="1"/>
  </r>
  <r>
    <s v="ADV-072"/>
    <s v="Skechers"/>
    <x v="1"/>
    <s v="TechVertise Ltd"/>
    <s v="campaigns@techvertise.com"/>
    <s v="International"/>
    <d v="2026-05-18T00:00:00"/>
    <d v="2026-06-22T00:00:00"/>
    <n v="35"/>
    <n v="640000"/>
    <x v="1"/>
  </r>
  <r>
    <s v="ADV-073"/>
    <s v="Godrej Interio"/>
    <x v="2"/>
    <s v="Bennett Coleman"/>
    <s v="print@bennettcoleman.in"/>
    <s v="Local"/>
    <d v="2026-05-19T00:00:00"/>
    <d v="2026-06-02T00:00:00"/>
    <n v="14"/>
    <n v="175000"/>
    <x v="0"/>
  </r>
  <r>
    <s v="ADV-074"/>
    <s v="Canon Local "/>
    <x v="1"/>
    <s v="Pixel Craft"/>
    <s v="production@pixelcraft.studio"/>
    <s v="International"/>
    <d v="2026-05-20T00:00:00"/>
    <d v="2026-06-25T00:00:00"/>
    <n v="36"/>
    <n v="790000"/>
    <x v="2"/>
  </r>
  <r>
    <s v="ADV-075"/>
    <s v="CaratLane"/>
    <x v="0"/>
    <s v="Signage Masters"/>
    <s v="delhi.ops@signagemasters.com"/>
    <s v="Local"/>
    <d v="2026-05-21T00:00:00"/>
    <d v="2026-06-08T00:00:00"/>
    <n v="18"/>
    <n v="230000"/>
    <x v="3"/>
  </r>
  <r>
    <s v="ADV-076"/>
    <s v="Titan"/>
    <x v="2"/>
    <s v="HT Media"/>
    <s v="scheduling@htmedia.in"/>
    <s v="Local "/>
    <d v="2026-05-22T00:00:00"/>
    <d v="2026-06-05T00:00:00"/>
    <n v="14"/>
    <n v="320000"/>
    <x v="0"/>
  </r>
  <r>
    <s v="ADV-077"/>
    <s v="Paytm"/>
    <x v="1"/>
    <s v="Global Ads Corp"/>
    <s v="globalops@globalads.com"/>
    <s v="International"/>
    <d v="2026-05-23T00:00:00"/>
    <d v="2026-06-18T00:00:00"/>
    <n v="26"/>
    <n v="510000"/>
    <x v="1"/>
  </r>
  <r>
    <s v="ADV-078"/>
    <s v="1mg"/>
    <x v="0"/>
    <s v="Prime Out-of-Home"/>
    <s v="ooh@primeoutdoors.in"/>
    <s v="Local"/>
    <d v="2026-05-24T00:00:00"/>
    <d v="2026-06-11T00:00:00"/>
    <n v="18"/>
    <n v="185000"/>
    <x v="2"/>
  </r>
  <r>
    <s v="ADV-079"/>
    <s v="Intel Local "/>
    <x v="1"/>
    <s v="TechVertise Ltd"/>
    <s v="campaigns@techvertise.com"/>
    <s v="USA"/>
    <d v="2026-05-25T00:00:00"/>
    <d v="2026-06-30T00:00:00"/>
    <n v="36"/>
    <n v="1420000"/>
    <x v="3"/>
  </r>
  <r>
    <s v="ADV-080"/>
    <s v="IndusInd Bank"/>
    <x v="2"/>
    <s v="Local n Express"/>
    <s v="ops.internal@agency.com"/>
    <s v="Local"/>
    <d v="2026-05-26T00:00:00"/>
    <d v="2026-06-09T00:00:00"/>
    <n v="14"/>
    <n v="155000"/>
    <x v="0"/>
  </r>
  <r>
    <s v="ADV-081"/>
    <s v="MG Motors"/>
    <x v="0"/>
    <s v="Pioneer Media"/>
    <s v="ops@pioneermedia.in"/>
    <s v="Local "/>
    <d v="2026-05-27T00:00:00"/>
    <d v="2026-06-24T00:00:00"/>
    <n v="28"/>
    <n v="710000"/>
    <x v="1"/>
  </r>
  <r>
    <s v="ADV-082"/>
    <s v="Asics"/>
    <x v="1"/>
    <s v="Pixel Craft"/>
    <s v="production@pixelcraft.studio"/>
    <s v="International"/>
    <d v="2026-05-28T00:00:00"/>
    <d v="2026-07-05T00:00:00"/>
    <n v="38"/>
    <n v="490000"/>
    <x v="2"/>
  </r>
  <r>
    <s v="ADV-083"/>
    <s v="Blue Star"/>
    <x v="2"/>
    <s v="Bennett Coleman"/>
    <s v="print@bennettcoleman.in"/>
    <s v="Local"/>
    <d v="2026-05-29T00:00:00"/>
    <d v="2026-06-15T00:00:00"/>
    <n v="17"/>
    <n v="285000"/>
    <x v="0"/>
  </r>
  <r>
    <s v="ADV-084"/>
    <s v="Philips Local "/>
    <x v="1"/>
    <s v="Global Ads Corp"/>
    <s v="globalops@globalads.com"/>
    <s v="International"/>
    <d v="2026-05-30T00:00:00"/>
    <d v="2026-06-28T00:00:00"/>
    <n v="29"/>
    <n v="660000"/>
    <x v="1"/>
  </r>
  <r>
    <s v="ADV-085"/>
    <s v="Pepperfry"/>
    <x v="0"/>
    <s v="Signage Masters"/>
    <s v="delhi.ops@signagemasters.com"/>
    <s v="Local"/>
    <d v="2026-05-31T00:00:00"/>
    <d v="2026-06-20T00:00:00"/>
    <n v="20"/>
    <n v="245000"/>
    <x v="3"/>
  </r>
  <r>
    <s v="ADV-086"/>
    <s v="Haldiram's"/>
    <x v="2"/>
    <s v="HT Media"/>
    <s v="scheduling@htmedia.in"/>
    <s v="Local "/>
    <d v="2026-06-01T00:00:00"/>
    <d v="2026-06-14T00:00:00"/>
    <n v="13"/>
    <n v="195000"/>
    <x v="0"/>
  </r>
  <r>
    <s v="ADV-087"/>
    <s v="IQOO Local "/>
    <x v="1"/>
    <s v="TechVertise Ltd"/>
    <s v="campaigns@techvertise.com"/>
    <s v="International"/>
    <d v="2026-06-02T00:00:00"/>
    <d v="2026-06-29T00:00:00"/>
    <n v="27"/>
    <n v="820000"/>
    <x v="1"/>
  </r>
  <r>
    <s v="ADV-088"/>
    <s v="JioCinema"/>
    <x v="0"/>
    <s v="Prime Out-of-Home"/>
    <s v="ooh@primeoutdoors.in"/>
    <s v="Local"/>
    <d v="2026-06-03T00:00:00"/>
    <d v="2026-06-22T00:00:00"/>
    <n v="19"/>
    <n v="430000"/>
    <x v="2"/>
  </r>
  <r>
    <s v="ADV-089"/>
    <s v="Adobe Local "/>
    <x v="1"/>
    <s v="Pixel Craft"/>
    <s v="production@pixelcraft.studio"/>
    <s v="USA"/>
    <d v="2026-06-04T00:00:00"/>
    <d v="2026-07-15T00:00:00"/>
    <n v="41"/>
    <n v="1900000"/>
    <x v="3"/>
  </r>
  <r>
    <s v="ADV-090"/>
    <s v="Yes Bank"/>
    <x v="2"/>
    <s v="Local n Express"/>
    <s v="ops.internal@agency.com"/>
    <s v="Local"/>
    <d v="2026-06-05T00:00:00"/>
    <d v="2026-06-20T00:00:00"/>
    <n v="15"/>
    <n v="125000"/>
    <x v="0"/>
  </r>
  <r>
    <s v="ADV-091"/>
    <s v="KIA Motors"/>
    <x v="0"/>
    <s v="Pioneer Media"/>
    <s v="ops@pioneermedia.in"/>
    <s v="Local "/>
    <d v="2026-06-06T00:00:00"/>
    <d v="2026-07-10T00:00:00"/>
    <n v="34"/>
    <n v="850000"/>
    <x v="1"/>
  </r>
  <r>
    <s v="ADV-092"/>
    <s v="Under Armour"/>
    <x v="1"/>
    <s v="Global Ads Corp"/>
    <s v="globalops@globalads.com"/>
    <s v="International"/>
    <d v="2026-06-07T00:00:00"/>
    <d v="2026-07-12T00:00:00"/>
    <n v="35"/>
    <n v="710000"/>
    <x v="2"/>
  </r>
  <r>
    <s v="ADV-093"/>
    <s v="Loreal Local "/>
    <x v="2"/>
    <s v="Bennett Coleman"/>
    <s v="print@bennettcoleman.in"/>
    <s v="Local"/>
    <d v="2026-06-08T00:00:00"/>
    <d v="2026-06-25T00:00:00"/>
    <n v="17"/>
    <n v="425000"/>
    <x v="0"/>
  </r>
  <r>
    <s v="ADV-094"/>
    <s v="Whirlpool"/>
    <x v="1"/>
    <s v="TechVertise Ltd"/>
    <s v="campaigns@techvertise.com"/>
    <s v="International"/>
    <d v="2026-06-09T00:00:00"/>
    <d v="2026-07-10T00:00:00"/>
    <n v="31"/>
    <n v="530000"/>
    <x v="1"/>
  </r>
  <r>
    <s v="ADV-095"/>
    <s v="Wakefit"/>
    <x v="0"/>
    <s v="Signage Masters"/>
    <s v="delhi.ops@signagemasters.com"/>
    <s v="Local"/>
    <d v="2026-06-10T00:00:00"/>
    <d v="2026-07-02T00:00:00"/>
    <n v="22"/>
    <n v="160000"/>
    <x v="3"/>
  </r>
  <r>
    <s v="ADV-096"/>
    <s v="Siyarams"/>
    <x v="2"/>
    <s v="HT Media"/>
    <s v="scheduling@htmedia.in"/>
    <s v="Local "/>
    <d v="2026-06-11T00:00:00"/>
    <d v="2026-06-26T00:00:00"/>
    <n v="15"/>
    <n v="210000"/>
    <x v="0"/>
  </r>
  <r>
    <s v="ADV-097"/>
    <s v="Oppo"/>
    <x v="1"/>
    <s v="Pixel Craft"/>
    <s v="production@pixelcraft.studio"/>
    <s v="International"/>
    <d v="2026-06-12T00:00:00"/>
    <d v="2026-07-15T00:00:00"/>
    <n v="33"/>
    <n v="880000"/>
    <x v="1"/>
  </r>
  <r>
    <s v="ADV-098"/>
    <s v="Urban Ladder"/>
    <x v="0"/>
    <s v="Prime Out-of-Home"/>
    <s v="ooh@primeoutdoors.in"/>
    <s v="Local"/>
    <d v="2026-06-13T00:00:00"/>
    <d v="2026-07-05T00:00:00"/>
    <n v="22"/>
    <n v="295000"/>
    <x v="2"/>
  </r>
  <r>
    <s v="ADV-099"/>
    <s v="SonyLiv"/>
    <x v="1"/>
    <s v="Global Ads Corp"/>
    <s v="globalops@globalads.com"/>
    <s v="International"/>
    <d v="2026-06-14T00:00:00"/>
    <d v="2026-07-22T00:00:00"/>
    <n v="38"/>
    <n v="1240000"/>
    <x v="3"/>
  </r>
  <r>
    <s v="ADV-100"/>
    <s v="IDFC First"/>
    <x v="2"/>
    <s v="Local n Express"/>
    <s v="ops.internal@agency.com"/>
    <s v="Local"/>
    <d v="2026-06-15T00:00:00"/>
    <d v="2026-06-30T00:00:00"/>
    <n v="15"/>
    <n v="240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CD0BC-5539-492E-8B09-2CBC2E1A8AC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5" firstHeaderRow="1" firstDataRow="1" firstDataCol="1"/>
  <pivotFields count="11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65" showAll="0"/>
    <pivotField numFmtId="165" showAll="0"/>
    <pivotField showAll="0"/>
    <pivotField dataField="1" numFmtId="172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Cost_INR" fld="9" baseField="2" baseItem="0" numFmtId="17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1F877-C1D4-4566-9CE7-6C0901783C7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6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numFmtId="172"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roduction@pixelcraft.studio" TargetMode="External"/><Relationship Id="rId3" Type="http://schemas.openxmlformats.org/officeDocument/2006/relationships/hyperlink" Target="mailto:campaigns@techvertise.com" TargetMode="External"/><Relationship Id="rId7" Type="http://schemas.openxmlformats.org/officeDocument/2006/relationships/hyperlink" Target="mailto:scheduling@htmedia.in" TargetMode="External"/><Relationship Id="rId2" Type="http://schemas.openxmlformats.org/officeDocument/2006/relationships/hyperlink" Target="mailto:ops@pioneermedia.in" TargetMode="External"/><Relationship Id="rId1" Type="http://schemas.openxmlformats.org/officeDocument/2006/relationships/hyperlink" Target="mailto:ops.internal@agency.com" TargetMode="External"/><Relationship Id="rId6" Type="http://schemas.openxmlformats.org/officeDocument/2006/relationships/hyperlink" Target="mailto:delhi.ops@signagemasters.com" TargetMode="External"/><Relationship Id="rId5" Type="http://schemas.openxmlformats.org/officeDocument/2006/relationships/hyperlink" Target="mailto:globalops@globalads.com" TargetMode="External"/><Relationship Id="rId10" Type="http://schemas.openxmlformats.org/officeDocument/2006/relationships/hyperlink" Target="mailto:ads@indianexpress.com" TargetMode="External"/><Relationship Id="rId4" Type="http://schemas.openxmlformats.org/officeDocument/2006/relationships/hyperlink" Target="mailto:print@bennettcoleman.in" TargetMode="External"/><Relationship Id="rId9" Type="http://schemas.openxmlformats.org/officeDocument/2006/relationships/hyperlink" Target="mailto:ooh@primeoutdoors.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B995-B5D3-4C9A-8435-761DF6694851}">
  <dimension ref="A1:O101"/>
  <sheetViews>
    <sheetView zoomScaleNormal="100" workbookViewId="0">
      <selection activeCell="B6" sqref="B6"/>
    </sheetView>
  </sheetViews>
  <sheetFormatPr defaultRowHeight="15" x14ac:dyDescent="0.25"/>
  <cols>
    <col min="1" max="1" width="9" customWidth="1"/>
    <col min="2" max="2" width="17.5703125" customWidth="1"/>
    <col min="3" max="3" width="15.28515625" customWidth="1"/>
    <col min="4" max="4" width="24.85546875" customWidth="1"/>
    <col min="5" max="5" width="28" customWidth="1"/>
    <col min="6" max="6" width="11.42578125" customWidth="1"/>
    <col min="7" max="7" width="11.28515625" style="4" customWidth="1"/>
    <col min="8" max="8" width="22.28515625" style="4" customWidth="1"/>
    <col min="9" max="9" width="22.28515625" style="8" customWidth="1"/>
    <col min="10" max="10" width="17.7109375" style="16" customWidth="1"/>
    <col min="11" max="11" width="17.42578125" customWidth="1"/>
  </cols>
  <sheetData>
    <row r="1" spans="1:15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234</v>
      </c>
      <c r="F1" s="2" t="s">
        <v>4</v>
      </c>
      <c r="G1" s="5" t="s">
        <v>5</v>
      </c>
      <c r="H1" s="5" t="s">
        <v>6</v>
      </c>
      <c r="I1" s="7" t="s">
        <v>233</v>
      </c>
      <c r="J1" s="14" t="s">
        <v>7</v>
      </c>
      <c r="K1" s="2" t="s">
        <v>8</v>
      </c>
      <c r="O1" s="2"/>
    </row>
    <row r="2" spans="1:15" ht="15.75" thickBo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tr">
        <f>_xlfn.XLOOKUP(TRIM(D2),Vendor_Master!$A$2:$A$11,Vendor_Master!$B$2:$B$11)</f>
        <v>ops@pioneermedia.in</v>
      </c>
      <c r="F2" s="1" t="s">
        <v>13</v>
      </c>
      <c r="G2" s="3">
        <v>46124</v>
      </c>
      <c r="H2" s="3">
        <v>46140</v>
      </c>
      <c r="I2" s="6">
        <f>_xlfn.DAYS(H2,G2)</f>
        <v>16</v>
      </c>
      <c r="J2" s="15">
        <v>150000</v>
      </c>
      <c r="K2" s="1" t="s">
        <v>14</v>
      </c>
      <c r="O2" s="1"/>
    </row>
    <row r="3" spans="1:15" ht="15.75" thickBot="1" x14ac:dyDescent="0.3">
      <c r="A3" s="1" t="s">
        <v>15</v>
      </c>
      <c r="B3" s="1" t="s">
        <v>16</v>
      </c>
      <c r="C3" s="1" t="s">
        <v>17</v>
      </c>
      <c r="D3" s="1" t="s">
        <v>18</v>
      </c>
      <c r="E3" s="1" t="str">
        <f>_xlfn.XLOOKUP(TRIM(D3),Vendor_Master!$A$2:$A$11,Vendor_Master!$B$2:$B$11)</f>
        <v>campaigns@techvertise.com</v>
      </c>
      <c r="F3" s="1" t="s">
        <v>213</v>
      </c>
      <c r="G3" s="3">
        <v>46125</v>
      </c>
      <c r="H3" s="3">
        <v>46144</v>
      </c>
      <c r="I3" s="6">
        <f t="shared" ref="I3:I66" si="0">_xlfn.DAYS(H3,G3)</f>
        <v>19</v>
      </c>
      <c r="J3" s="15">
        <v>450000</v>
      </c>
      <c r="K3" s="1" t="s">
        <v>19</v>
      </c>
      <c r="O3" s="1"/>
    </row>
    <row r="4" spans="1:15" ht="15.75" thickBot="1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tr">
        <f>_xlfn.XLOOKUP(TRIM(D4),Vendor_Master!$A$2:$A$11,Vendor_Master!$B$2:$B$11)</f>
        <v>print@bennettcoleman.in</v>
      </c>
      <c r="F4" s="1" t="s">
        <v>13</v>
      </c>
      <c r="G4" s="3">
        <v>46126</v>
      </c>
      <c r="H4" s="3">
        <v>46132</v>
      </c>
      <c r="I4" s="6">
        <f t="shared" si="0"/>
        <v>6</v>
      </c>
      <c r="J4" s="15">
        <v>275000</v>
      </c>
      <c r="K4" s="1" t="s">
        <v>14</v>
      </c>
      <c r="O4" s="1"/>
    </row>
    <row r="5" spans="1:15" ht="15.75" thickBot="1" x14ac:dyDescent="0.3">
      <c r="A5" s="1" t="s">
        <v>24</v>
      </c>
      <c r="B5" s="1" t="s">
        <v>214</v>
      </c>
      <c r="C5" s="1" t="s">
        <v>17</v>
      </c>
      <c r="D5" s="1" t="s">
        <v>25</v>
      </c>
      <c r="E5" s="1" t="str">
        <f>_xlfn.XLOOKUP(TRIM(D5),Vendor_Master!$A$2:$A$11,Vendor_Master!$B$2:$B$11)</f>
        <v>globalops@globalads.com</v>
      </c>
      <c r="F5" s="1" t="s">
        <v>26</v>
      </c>
      <c r="G5" s="3">
        <v>46127</v>
      </c>
      <c r="H5" s="3">
        <v>46152</v>
      </c>
      <c r="I5" s="6">
        <f t="shared" si="0"/>
        <v>25</v>
      </c>
      <c r="J5" s="15">
        <v>850000</v>
      </c>
      <c r="K5" s="1" t="s">
        <v>27</v>
      </c>
      <c r="O5" s="1"/>
    </row>
    <row r="6" spans="1:15" ht="26.25" thickBot="1" x14ac:dyDescent="0.3">
      <c r="A6" s="1" t="s">
        <v>28</v>
      </c>
      <c r="B6" s="1" t="s">
        <v>29</v>
      </c>
      <c r="C6" s="1" t="s">
        <v>11</v>
      </c>
      <c r="D6" s="1" t="s">
        <v>30</v>
      </c>
      <c r="E6" s="1" t="str">
        <f>_xlfn.XLOOKUP(TRIM(D6),Vendor_Master!$A$2:$A$11,Vendor_Master!$B$2:$B$11)</f>
        <v>delhi.ops@signagemasters.com</v>
      </c>
      <c r="F6" s="1" t="s">
        <v>13</v>
      </c>
      <c r="G6" s="3">
        <v>46128</v>
      </c>
      <c r="H6" s="3">
        <v>46147</v>
      </c>
      <c r="I6" s="6">
        <f t="shared" si="0"/>
        <v>19</v>
      </c>
      <c r="J6" s="15">
        <v>120000</v>
      </c>
      <c r="K6" s="1" t="s">
        <v>31</v>
      </c>
      <c r="O6" s="1"/>
    </row>
    <row r="7" spans="1:15" ht="15.75" thickBot="1" x14ac:dyDescent="0.3">
      <c r="A7" s="1" t="s">
        <v>32</v>
      </c>
      <c r="B7" s="1" t="s">
        <v>33</v>
      </c>
      <c r="C7" s="1" t="s">
        <v>22</v>
      </c>
      <c r="D7" s="1" t="s">
        <v>34</v>
      </c>
      <c r="E7" s="1" t="str">
        <f>_xlfn.XLOOKUP(TRIM(D7),Vendor_Master!$A$2:$A$11,Vendor_Master!$B$2:$B$11)</f>
        <v>scheduling@htmedia.in</v>
      </c>
      <c r="F7" s="1" t="s">
        <v>213</v>
      </c>
      <c r="G7" s="3">
        <v>46128</v>
      </c>
      <c r="H7" s="3">
        <v>46137</v>
      </c>
      <c r="I7" s="6">
        <f t="shared" si="0"/>
        <v>9</v>
      </c>
      <c r="J7" s="15">
        <v>310000</v>
      </c>
      <c r="K7" s="1" t="s">
        <v>14</v>
      </c>
      <c r="O7" s="1"/>
    </row>
    <row r="8" spans="1:15" ht="15.75" thickBot="1" x14ac:dyDescent="0.3">
      <c r="A8" s="1" t="s">
        <v>35</v>
      </c>
      <c r="B8" s="1" t="s">
        <v>36</v>
      </c>
      <c r="C8" s="1" t="s">
        <v>17</v>
      </c>
      <c r="D8" s="1" t="s">
        <v>37</v>
      </c>
      <c r="E8" s="1" t="str">
        <f>_xlfn.XLOOKUP(TRIM(D8),Vendor_Master!$A$2:$A$11,Vendor_Master!$B$2:$B$11)</f>
        <v>production@pixelcraft.studio</v>
      </c>
      <c r="F8" s="1" t="s">
        <v>26</v>
      </c>
      <c r="G8" s="3">
        <v>46129</v>
      </c>
      <c r="H8" s="3">
        <v>46157</v>
      </c>
      <c r="I8" s="6">
        <f t="shared" si="0"/>
        <v>28</v>
      </c>
      <c r="J8" s="15">
        <v>1200000</v>
      </c>
      <c r="K8" s="1" t="s">
        <v>19</v>
      </c>
      <c r="O8" s="1"/>
    </row>
    <row r="9" spans="1:15" ht="15.75" thickBot="1" x14ac:dyDescent="0.3">
      <c r="A9" s="1" t="s">
        <v>38</v>
      </c>
      <c r="B9" s="1" t="s">
        <v>39</v>
      </c>
      <c r="C9" s="1" t="s">
        <v>11</v>
      </c>
      <c r="D9" s="1" t="s">
        <v>40</v>
      </c>
      <c r="E9" s="1" t="str">
        <f>_xlfn.XLOOKUP(TRIM(D9),Vendor_Master!$A$2:$A$11,Vendor_Master!$B$2:$B$11)</f>
        <v>ooh@primeoutdoors.in</v>
      </c>
      <c r="F9" s="1" t="s">
        <v>13</v>
      </c>
      <c r="G9" s="3">
        <v>46130</v>
      </c>
      <c r="H9" s="3">
        <v>46143</v>
      </c>
      <c r="I9" s="6">
        <f t="shared" si="0"/>
        <v>13</v>
      </c>
      <c r="J9" s="15">
        <v>210000</v>
      </c>
      <c r="K9" s="1" t="s">
        <v>27</v>
      </c>
      <c r="O9" s="1"/>
    </row>
    <row r="10" spans="1:15" ht="15.75" thickBot="1" x14ac:dyDescent="0.3">
      <c r="A10" s="1" t="s">
        <v>41</v>
      </c>
      <c r="B10" s="1" t="s">
        <v>215</v>
      </c>
      <c r="C10" s="1" t="s">
        <v>17</v>
      </c>
      <c r="D10" s="1" t="s">
        <v>18</v>
      </c>
      <c r="E10" s="1" t="str">
        <f>_xlfn.XLOOKUP(TRIM(D10),Vendor_Master!$A$2:$A$11,Vendor_Master!$B$2:$B$11)</f>
        <v>campaigns@techvertise.com</v>
      </c>
      <c r="F10" s="1" t="s">
        <v>42</v>
      </c>
      <c r="G10" s="3">
        <v>46131</v>
      </c>
      <c r="H10" s="3">
        <v>46154</v>
      </c>
      <c r="I10" s="6">
        <f t="shared" si="0"/>
        <v>23</v>
      </c>
      <c r="J10" s="15">
        <v>640000</v>
      </c>
      <c r="K10" s="1" t="s">
        <v>19</v>
      </c>
      <c r="O10" s="1"/>
    </row>
    <row r="11" spans="1:15" ht="15.75" thickBot="1" x14ac:dyDescent="0.3">
      <c r="A11" s="1" t="s">
        <v>43</v>
      </c>
      <c r="B11" s="1" t="s">
        <v>44</v>
      </c>
      <c r="C11" s="1" t="s">
        <v>22</v>
      </c>
      <c r="D11" s="1" t="s">
        <v>216</v>
      </c>
      <c r="E11" s="1" t="str">
        <f>_xlfn.XLOOKUP(TRIM(D11),Vendor_Master!$A$2:$A$11,Vendor_Master!$B$2:$B$11)</f>
        <v>ops.internal@agency.com</v>
      </c>
      <c r="F11" s="1" t="s">
        <v>13</v>
      </c>
      <c r="G11" s="3">
        <v>46132</v>
      </c>
      <c r="H11" s="3">
        <v>46141</v>
      </c>
      <c r="I11" s="6">
        <f t="shared" si="0"/>
        <v>9</v>
      </c>
      <c r="J11" s="15">
        <v>95000</v>
      </c>
      <c r="K11" s="1" t="s">
        <v>14</v>
      </c>
      <c r="O11" s="1"/>
    </row>
    <row r="12" spans="1:15" ht="15.75" thickBot="1" x14ac:dyDescent="0.3">
      <c r="A12" s="1" t="s">
        <v>46</v>
      </c>
      <c r="B12" s="1" t="s">
        <v>47</v>
      </c>
      <c r="C12" s="1" t="s">
        <v>11</v>
      </c>
      <c r="D12" s="1" t="s">
        <v>12</v>
      </c>
      <c r="E12" s="1" t="str">
        <f>_xlfn.XLOOKUP(TRIM(D12),Vendor_Master!$A$2:$A$11,Vendor_Master!$B$2:$B$11)</f>
        <v>ops@pioneermedia.in</v>
      </c>
      <c r="F12" s="1" t="s">
        <v>213</v>
      </c>
      <c r="G12" s="3">
        <v>46133</v>
      </c>
      <c r="H12" s="3">
        <v>46150</v>
      </c>
      <c r="I12" s="6">
        <f t="shared" si="0"/>
        <v>17</v>
      </c>
      <c r="J12" s="15">
        <v>180000</v>
      </c>
      <c r="K12" s="1" t="s">
        <v>31</v>
      </c>
      <c r="O12" s="1"/>
    </row>
    <row r="13" spans="1:15" ht="15.75" thickBot="1" x14ac:dyDescent="0.3">
      <c r="A13" s="1" t="s">
        <v>48</v>
      </c>
      <c r="B13" s="1" t="s">
        <v>49</v>
      </c>
      <c r="C13" s="1" t="s">
        <v>17</v>
      </c>
      <c r="D13" s="1" t="s">
        <v>25</v>
      </c>
      <c r="E13" s="1" t="str">
        <f>_xlfn.XLOOKUP(TRIM(D13),Vendor_Master!$A$2:$A$11,Vendor_Master!$B$2:$B$11)</f>
        <v>globalops@globalads.com</v>
      </c>
      <c r="F13" s="1" t="s">
        <v>26</v>
      </c>
      <c r="G13" s="3">
        <v>46134</v>
      </c>
      <c r="H13" s="3">
        <v>46160</v>
      </c>
      <c r="I13" s="6">
        <f t="shared" si="0"/>
        <v>26</v>
      </c>
      <c r="J13" s="15">
        <v>550000</v>
      </c>
      <c r="K13" s="1" t="s">
        <v>19</v>
      </c>
      <c r="O13" s="1"/>
    </row>
    <row r="14" spans="1:15" ht="15.75" thickBot="1" x14ac:dyDescent="0.3">
      <c r="A14" s="1" t="s">
        <v>50</v>
      </c>
      <c r="B14" s="1" t="s">
        <v>51</v>
      </c>
      <c r="C14" s="1" t="s">
        <v>22</v>
      </c>
      <c r="D14" s="1" t="s">
        <v>23</v>
      </c>
      <c r="E14" s="1" t="str">
        <f>_xlfn.XLOOKUP(TRIM(D14),Vendor_Master!$A$2:$A$11,Vendor_Master!$B$2:$B$11)</f>
        <v>print@bennettcoleman.in</v>
      </c>
      <c r="F14" s="1" t="s">
        <v>13</v>
      </c>
      <c r="G14" s="3">
        <v>46134</v>
      </c>
      <c r="H14" s="3">
        <v>46142</v>
      </c>
      <c r="I14" s="6">
        <f t="shared" si="0"/>
        <v>8</v>
      </c>
      <c r="J14" s="15">
        <v>420000</v>
      </c>
      <c r="K14" s="1" t="s">
        <v>14</v>
      </c>
      <c r="O14" s="1"/>
    </row>
    <row r="15" spans="1:15" ht="15.75" thickBot="1" x14ac:dyDescent="0.3">
      <c r="A15" s="1" t="s">
        <v>52</v>
      </c>
      <c r="B15" s="1" t="s">
        <v>53</v>
      </c>
      <c r="C15" s="1" t="s">
        <v>17</v>
      </c>
      <c r="D15" s="1" t="s">
        <v>37</v>
      </c>
      <c r="E15" s="1" t="str">
        <f>_xlfn.XLOOKUP(TRIM(D15),Vendor_Master!$A$2:$A$11,Vendor_Master!$B$2:$B$11)</f>
        <v>production@pixelcraft.studio</v>
      </c>
      <c r="F15" s="1" t="s">
        <v>26</v>
      </c>
      <c r="G15" s="3">
        <v>46135</v>
      </c>
      <c r="H15" s="3">
        <v>46156</v>
      </c>
      <c r="I15" s="6">
        <f t="shared" si="0"/>
        <v>21</v>
      </c>
      <c r="J15" s="15">
        <v>980000</v>
      </c>
      <c r="K15" s="1" t="s">
        <v>19</v>
      </c>
      <c r="O15" s="1"/>
    </row>
    <row r="16" spans="1:15" ht="26.25" thickBot="1" x14ac:dyDescent="0.3">
      <c r="A16" s="1" t="s">
        <v>54</v>
      </c>
      <c r="B16" s="1" t="s">
        <v>55</v>
      </c>
      <c r="C16" s="1" t="s">
        <v>11</v>
      </c>
      <c r="D16" s="1" t="s">
        <v>30</v>
      </c>
      <c r="E16" s="1" t="str">
        <f>_xlfn.XLOOKUP(TRIM(D16),Vendor_Master!$A$2:$A$11,Vendor_Master!$B$2:$B$11)</f>
        <v>delhi.ops@signagemasters.com</v>
      </c>
      <c r="F16" s="1" t="s">
        <v>13</v>
      </c>
      <c r="G16" s="3">
        <v>46136</v>
      </c>
      <c r="H16" s="3">
        <v>46149</v>
      </c>
      <c r="I16" s="6">
        <f t="shared" si="0"/>
        <v>13</v>
      </c>
      <c r="J16" s="15">
        <v>135000</v>
      </c>
      <c r="K16" s="1" t="s">
        <v>27</v>
      </c>
      <c r="O16" s="1"/>
    </row>
    <row r="17" spans="1:15" ht="15.75" thickBot="1" x14ac:dyDescent="0.3">
      <c r="A17" s="1" t="s">
        <v>56</v>
      </c>
      <c r="B17" s="1" t="s">
        <v>57</v>
      </c>
      <c r="C17" s="1" t="s">
        <v>17</v>
      </c>
      <c r="D17" s="1" t="s">
        <v>18</v>
      </c>
      <c r="E17" s="1" t="str">
        <f>_xlfn.XLOOKUP(TRIM(D17),Vendor_Master!$A$2:$A$11,Vendor_Master!$B$2:$B$11)</f>
        <v>campaigns@techvertise.com</v>
      </c>
      <c r="F17" s="1" t="s">
        <v>213</v>
      </c>
      <c r="G17" s="3">
        <v>46137</v>
      </c>
      <c r="H17" s="3">
        <v>46162</v>
      </c>
      <c r="I17" s="6">
        <f t="shared" si="0"/>
        <v>25</v>
      </c>
      <c r="J17" s="15">
        <v>720000</v>
      </c>
      <c r="K17" s="1" t="s">
        <v>31</v>
      </c>
      <c r="O17" s="1"/>
    </row>
    <row r="18" spans="1:15" ht="15.75" thickBot="1" x14ac:dyDescent="0.3">
      <c r="A18" s="1" t="s">
        <v>58</v>
      </c>
      <c r="B18" s="1" t="s">
        <v>59</v>
      </c>
      <c r="C18" s="1" t="s">
        <v>22</v>
      </c>
      <c r="D18" s="1" t="s">
        <v>34</v>
      </c>
      <c r="E18" s="1" t="str">
        <f>_xlfn.XLOOKUP(TRIM(D18),Vendor_Master!$A$2:$A$11,Vendor_Master!$B$2:$B$11)</f>
        <v>scheduling@htmedia.in</v>
      </c>
      <c r="F18" s="1" t="s">
        <v>13</v>
      </c>
      <c r="G18" s="3">
        <v>46138</v>
      </c>
      <c r="H18" s="3">
        <v>46146</v>
      </c>
      <c r="I18" s="6">
        <f t="shared" si="0"/>
        <v>8</v>
      </c>
      <c r="J18" s="15">
        <v>290000</v>
      </c>
      <c r="K18" s="1" t="s">
        <v>14</v>
      </c>
      <c r="O18" s="1"/>
    </row>
    <row r="19" spans="1:15" ht="15.75" thickBot="1" x14ac:dyDescent="0.3">
      <c r="A19" s="1" t="s">
        <v>60</v>
      </c>
      <c r="B19" s="1" t="s">
        <v>61</v>
      </c>
      <c r="C19" s="1" t="s">
        <v>11</v>
      </c>
      <c r="D19" s="1" t="s">
        <v>40</v>
      </c>
      <c r="E19" s="1" t="str">
        <f>_xlfn.XLOOKUP(TRIM(D19),Vendor_Master!$A$2:$A$11,Vendor_Master!$B$2:$B$11)</f>
        <v>ooh@primeoutdoors.in</v>
      </c>
      <c r="F19" s="1" t="s">
        <v>13</v>
      </c>
      <c r="G19" s="3">
        <v>46139</v>
      </c>
      <c r="H19" s="3">
        <v>46152</v>
      </c>
      <c r="I19" s="6">
        <f t="shared" si="0"/>
        <v>13</v>
      </c>
      <c r="J19" s="15">
        <v>240000</v>
      </c>
      <c r="K19" s="1" t="s">
        <v>19</v>
      </c>
      <c r="O19" s="1"/>
    </row>
    <row r="20" spans="1:15" ht="15.75" thickBot="1" x14ac:dyDescent="0.3">
      <c r="A20" s="1" t="s">
        <v>62</v>
      </c>
      <c r="B20" s="1" t="s">
        <v>217</v>
      </c>
      <c r="C20" s="1" t="s">
        <v>17</v>
      </c>
      <c r="D20" s="1" t="s">
        <v>25</v>
      </c>
      <c r="E20" s="1" t="str">
        <f>_xlfn.XLOOKUP(TRIM(D20),Vendor_Master!$A$2:$A$11,Vendor_Master!$B$2:$B$11)</f>
        <v>globalops@globalads.com</v>
      </c>
      <c r="F20" s="1" t="s">
        <v>42</v>
      </c>
      <c r="G20" s="3">
        <v>46140</v>
      </c>
      <c r="H20" s="3">
        <v>46167</v>
      </c>
      <c r="I20" s="6">
        <f t="shared" si="0"/>
        <v>27</v>
      </c>
      <c r="J20" s="15">
        <v>1550000</v>
      </c>
      <c r="K20" s="1" t="s">
        <v>31</v>
      </c>
      <c r="O20" s="1"/>
    </row>
    <row r="21" spans="1:15" ht="15.75" thickBot="1" x14ac:dyDescent="0.3">
      <c r="A21" s="1" t="s">
        <v>63</v>
      </c>
      <c r="B21" s="1" t="s">
        <v>64</v>
      </c>
      <c r="C21" s="1" t="s">
        <v>22</v>
      </c>
      <c r="D21" s="1" t="s">
        <v>216</v>
      </c>
      <c r="E21" s="1" t="str">
        <f>_xlfn.XLOOKUP(TRIM(D21),Vendor_Master!$A$2:$A$11,Vendor_Master!$B$2:$B$11)</f>
        <v>ops.internal@agency.com</v>
      </c>
      <c r="F21" s="1" t="s">
        <v>213</v>
      </c>
      <c r="G21" s="3">
        <v>46140</v>
      </c>
      <c r="H21" s="3">
        <v>46148</v>
      </c>
      <c r="I21" s="6">
        <f t="shared" si="0"/>
        <v>8</v>
      </c>
      <c r="J21" s="15">
        <v>115000</v>
      </c>
      <c r="K21" s="1" t="s">
        <v>14</v>
      </c>
      <c r="O21" s="1"/>
    </row>
    <row r="22" spans="1:15" ht="15.75" thickBot="1" x14ac:dyDescent="0.3">
      <c r="A22" s="1" t="s">
        <v>65</v>
      </c>
      <c r="B22" s="1" t="s">
        <v>66</v>
      </c>
      <c r="C22" s="1" t="s">
        <v>11</v>
      </c>
      <c r="D22" s="1" t="s">
        <v>12</v>
      </c>
      <c r="E22" s="1" t="str">
        <f>_xlfn.XLOOKUP(TRIM(D22),Vendor_Master!$A$2:$A$11,Vendor_Master!$B$2:$B$11)</f>
        <v>ops@pioneermedia.in</v>
      </c>
      <c r="F22" s="1" t="s">
        <v>13</v>
      </c>
      <c r="G22" s="3">
        <v>46141</v>
      </c>
      <c r="H22" s="3">
        <v>46157</v>
      </c>
      <c r="I22" s="6">
        <f t="shared" si="0"/>
        <v>16</v>
      </c>
      <c r="J22" s="15">
        <v>320000</v>
      </c>
      <c r="K22" s="1" t="s">
        <v>27</v>
      </c>
      <c r="O22" s="1"/>
    </row>
    <row r="23" spans="1:15" ht="15.75" thickBot="1" x14ac:dyDescent="0.3">
      <c r="A23" s="1" t="s">
        <v>67</v>
      </c>
      <c r="B23" s="1" t="s">
        <v>68</v>
      </c>
      <c r="C23" s="1" t="s">
        <v>17</v>
      </c>
      <c r="D23" s="1" t="s">
        <v>37</v>
      </c>
      <c r="E23" s="1" t="str">
        <f>_xlfn.XLOOKUP(TRIM(D23),Vendor_Master!$A$2:$A$11,Vendor_Master!$B$2:$B$11)</f>
        <v>production@pixelcraft.studio</v>
      </c>
      <c r="F23" s="1" t="s">
        <v>26</v>
      </c>
      <c r="G23" s="3">
        <v>46142</v>
      </c>
      <c r="H23" s="3">
        <v>46164</v>
      </c>
      <c r="I23" s="6">
        <f t="shared" si="0"/>
        <v>22</v>
      </c>
      <c r="J23" s="15">
        <v>480000</v>
      </c>
      <c r="K23" s="1" t="s">
        <v>19</v>
      </c>
      <c r="O23" s="1"/>
    </row>
    <row r="24" spans="1:15" ht="15.75" thickBot="1" x14ac:dyDescent="0.3">
      <c r="A24" s="1" t="s">
        <v>69</v>
      </c>
      <c r="B24" s="1" t="s">
        <v>70</v>
      </c>
      <c r="C24" s="1" t="s">
        <v>22</v>
      </c>
      <c r="D24" s="1" t="s">
        <v>23</v>
      </c>
      <c r="E24" s="1" t="str">
        <f>_xlfn.XLOOKUP(TRIM(D24),Vendor_Master!$A$2:$A$11,Vendor_Master!$B$2:$B$11)</f>
        <v>print@bennettcoleman.in</v>
      </c>
      <c r="F24" s="1" t="s">
        <v>13</v>
      </c>
      <c r="G24" s="3">
        <v>46143</v>
      </c>
      <c r="H24" s="3">
        <v>46154</v>
      </c>
      <c r="I24" s="6">
        <f t="shared" si="0"/>
        <v>11</v>
      </c>
      <c r="J24" s="15">
        <v>500000</v>
      </c>
      <c r="K24" s="1" t="s">
        <v>14</v>
      </c>
      <c r="O24" s="1"/>
    </row>
    <row r="25" spans="1:15" ht="15.75" thickBot="1" x14ac:dyDescent="0.3">
      <c r="A25" s="1" t="s">
        <v>71</v>
      </c>
      <c r="B25" s="1" t="s">
        <v>218</v>
      </c>
      <c r="C25" s="1" t="s">
        <v>17</v>
      </c>
      <c r="D25" s="1" t="s">
        <v>25</v>
      </c>
      <c r="E25" s="1" t="str">
        <f>_xlfn.XLOOKUP(TRIM(D25),Vendor_Master!$A$2:$A$11,Vendor_Master!$B$2:$B$11)</f>
        <v>globalops@globalads.com</v>
      </c>
      <c r="F25" s="1" t="s">
        <v>72</v>
      </c>
      <c r="G25" s="3">
        <v>46144</v>
      </c>
      <c r="H25" s="3">
        <v>46172</v>
      </c>
      <c r="I25" s="6">
        <f t="shared" si="0"/>
        <v>28</v>
      </c>
      <c r="J25" s="15">
        <v>2200000</v>
      </c>
      <c r="K25" s="1" t="s">
        <v>19</v>
      </c>
      <c r="O25" s="1"/>
    </row>
    <row r="26" spans="1:15" ht="26.25" thickBot="1" x14ac:dyDescent="0.3">
      <c r="A26" s="1" t="s">
        <v>73</v>
      </c>
      <c r="B26" s="1" t="s">
        <v>74</v>
      </c>
      <c r="C26" s="1" t="s">
        <v>11</v>
      </c>
      <c r="D26" s="1" t="s">
        <v>30</v>
      </c>
      <c r="E26" s="1" t="str">
        <f>_xlfn.XLOOKUP(TRIM(D26),Vendor_Master!$A$2:$A$11,Vendor_Master!$B$2:$B$11)</f>
        <v>delhi.ops@signagemasters.com</v>
      </c>
      <c r="F26" s="1" t="s">
        <v>13</v>
      </c>
      <c r="G26" s="3">
        <v>46145</v>
      </c>
      <c r="H26" s="3">
        <v>46160</v>
      </c>
      <c r="I26" s="6">
        <f t="shared" si="0"/>
        <v>15</v>
      </c>
      <c r="J26" s="15">
        <v>95000</v>
      </c>
      <c r="K26" s="1" t="s">
        <v>31</v>
      </c>
      <c r="O26" s="1"/>
    </row>
    <row r="27" spans="1:15" ht="15.75" thickBot="1" x14ac:dyDescent="0.3">
      <c r="A27" s="1" t="s">
        <v>75</v>
      </c>
      <c r="B27" s="1" t="s">
        <v>76</v>
      </c>
      <c r="C27" s="1" t="s">
        <v>22</v>
      </c>
      <c r="D27" s="1" t="s">
        <v>34</v>
      </c>
      <c r="E27" s="1" t="str">
        <f>_xlfn.XLOOKUP(TRIM(D27),Vendor_Master!$A$2:$A$11,Vendor_Master!$B$2:$B$11)</f>
        <v>scheduling@htmedia.in</v>
      </c>
      <c r="F27" s="1" t="s">
        <v>213</v>
      </c>
      <c r="G27" s="3">
        <v>46146</v>
      </c>
      <c r="H27" s="3">
        <v>46157</v>
      </c>
      <c r="I27" s="6">
        <f t="shared" si="0"/>
        <v>11</v>
      </c>
      <c r="J27" s="15">
        <v>190000</v>
      </c>
      <c r="K27" s="1" t="s">
        <v>14</v>
      </c>
      <c r="O27" s="1"/>
    </row>
    <row r="28" spans="1:15" ht="15.75" thickBot="1" x14ac:dyDescent="0.3">
      <c r="A28" s="1" t="s">
        <v>77</v>
      </c>
      <c r="B28" s="1" t="s">
        <v>78</v>
      </c>
      <c r="C28" s="1" t="s">
        <v>17</v>
      </c>
      <c r="D28" s="1" t="s">
        <v>18</v>
      </c>
      <c r="E28" s="1" t="str">
        <f>_xlfn.XLOOKUP(TRIM(D28),Vendor_Master!$A$2:$A$11,Vendor_Master!$B$2:$B$11)</f>
        <v>campaigns@techvertise.com</v>
      </c>
      <c r="F28" s="1" t="s">
        <v>26</v>
      </c>
      <c r="G28" s="3">
        <v>46147</v>
      </c>
      <c r="H28" s="3">
        <v>46170</v>
      </c>
      <c r="I28" s="6">
        <f t="shared" si="0"/>
        <v>23</v>
      </c>
      <c r="J28" s="15">
        <v>810000</v>
      </c>
      <c r="K28" s="1" t="s">
        <v>19</v>
      </c>
      <c r="O28" s="1"/>
    </row>
    <row r="29" spans="1:15" ht="15.75" thickBot="1" x14ac:dyDescent="0.3">
      <c r="A29" s="1" t="s">
        <v>79</v>
      </c>
      <c r="B29" s="1" t="s">
        <v>80</v>
      </c>
      <c r="C29" s="1" t="s">
        <v>11</v>
      </c>
      <c r="D29" s="1" t="s">
        <v>40</v>
      </c>
      <c r="E29" s="1" t="str">
        <f>_xlfn.XLOOKUP(TRIM(D29),Vendor_Master!$A$2:$A$11,Vendor_Master!$B$2:$B$11)</f>
        <v>ooh@primeoutdoors.in</v>
      </c>
      <c r="F29" s="1" t="s">
        <v>13</v>
      </c>
      <c r="G29" s="3">
        <v>46147</v>
      </c>
      <c r="H29" s="3">
        <v>46156</v>
      </c>
      <c r="I29" s="6">
        <f t="shared" si="0"/>
        <v>9</v>
      </c>
      <c r="J29" s="15">
        <v>260000</v>
      </c>
      <c r="K29" s="1" t="s">
        <v>27</v>
      </c>
      <c r="O29" s="1"/>
    </row>
    <row r="30" spans="1:15" ht="15.75" thickBot="1" x14ac:dyDescent="0.3">
      <c r="A30" s="1" t="s">
        <v>81</v>
      </c>
      <c r="B30" s="1" t="s">
        <v>82</v>
      </c>
      <c r="C30" s="1" t="s">
        <v>17</v>
      </c>
      <c r="D30" s="1" t="s">
        <v>37</v>
      </c>
      <c r="E30" s="1" t="str">
        <f>_xlfn.XLOOKUP(TRIM(D30),Vendor_Master!$A$2:$A$11,Vendor_Master!$B$2:$B$11)</f>
        <v>production@pixelcraft.studio</v>
      </c>
      <c r="F30" s="1" t="s">
        <v>42</v>
      </c>
      <c r="G30" s="3">
        <v>46148</v>
      </c>
      <c r="H30" s="3">
        <v>46175</v>
      </c>
      <c r="I30" s="6">
        <f t="shared" si="0"/>
        <v>27</v>
      </c>
      <c r="J30" s="15">
        <v>1340000</v>
      </c>
      <c r="K30" s="1" t="s">
        <v>31</v>
      </c>
      <c r="O30" s="1"/>
    </row>
    <row r="31" spans="1:15" ht="15.75" thickBot="1" x14ac:dyDescent="0.3">
      <c r="A31" s="1" t="s">
        <v>83</v>
      </c>
      <c r="B31" s="1" t="s">
        <v>84</v>
      </c>
      <c r="C31" s="1" t="s">
        <v>22</v>
      </c>
      <c r="D31" s="1" t="s">
        <v>216</v>
      </c>
      <c r="E31" s="1" t="str">
        <f>_xlfn.XLOOKUP(TRIM(D31),Vendor_Master!$A$2:$A$11,Vendor_Master!$B$2:$B$11)</f>
        <v>ops.internal@agency.com</v>
      </c>
      <c r="F31" s="1" t="s">
        <v>13</v>
      </c>
      <c r="G31" s="3">
        <v>46149</v>
      </c>
      <c r="H31" s="3">
        <v>46158</v>
      </c>
      <c r="I31" s="6">
        <f t="shared" si="0"/>
        <v>9</v>
      </c>
      <c r="J31" s="15">
        <v>350000</v>
      </c>
      <c r="K31" s="1" t="s">
        <v>14</v>
      </c>
      <c r="O31" s="1"/>
    </row>
    <row r="32" spans="1:15" ht="15.75" thickBot="1" x14ac:dyDescent="0.3">
      <c r="A32" s="1" t="s">
        <v>85</v>
      </c>
      <c r="B32" s="1" t="s">
        <v>86</v>
      </c>
      <c r="C32" s="1" t="s">
        <v>11</v>
      </c>
      <c r="D32" s="1" t="s">
        <v>12</v>
      </c>
      <c r="E32" s="1" t="str">
        <f>_xlfn.XLOOKUP(TRIM(D32),Vendor_Master!$A$2:$A$11,Vendor_Master!$B$2:$B$11)</f>
        <v>ops@pioneermedia.in</v>
      </c>
      <c r="F32" s="1" t="s">
        <v>213</v>
      </c>
      <c r="G32" s="3">
        <v>46150</v>
      </c>
      <c r="H32" s="3">
        <v>46167</v>
      </c>
      <c r="I32" s="6">
        <f t="shared" si="0"/>
        <v>17</v>
      </c>
      <c r="J32" s="15">
        <v>175000</v>
      </c>
      <c r="K32" s="1" t="s">
        <v>19</v>
      </c>
      <c r="O32" s="1"/>
    </row>
    <row r="33" spans="1:15" ht="15.75" thickBot="1" x14ac:dyDescent="0.3">
      <c r="A33" s="1" t="s">
        <v>87</v>
      </c>
      <c r="B33" s="1" t="s">
        <v>219</v>
      </c>
      <c r="C33" s="1" t="s">
        <v>17</v>
      </c>
      <c r="D33" s="1" t="s">
        <v>25</v>
      </c>
      <c r="E33" s="1" t="str">
        <f>_xlfn.XLOOKUP(TRIM(D33),Vendor_Master!$A$2:$A$11,Vendor_Master!$B$2:$B$11)</f>
        <v>globalops@globalads.com</v>
      </c>
      <c r="F33" s="1" t="s">
        <v>26</v>
      </c>
      <c r="G33" s="3">
        <v>46151</v>
      </c>
      <c r="H33" s="3">
        <v>46178</v>
      </c>
      <c r="I33" s="6">
        <f t="shared" si="0"/>
        <v>27</v>
      </c>
      <c r="J33" s="15">
        <v>620000</v>
      </c>
      <c r="K33" s="1" t="s">
        <v>27</v>
      </c>
      <c r="O33" s="1"/>
    </row>
    <row r="34" spans="1:15" ht="15.75" thickBot="1" x14ac:dyDescent="0.3">
      <c r="A34" s="1" t="s">
        <v>88</v>
      </c>
      <c r="B34" s="1" t="s">
        <v>89</v>
      </c>
      <c r="C34" s="1" t="s">
        <v>22</v>
      </c>
      <c r="D34" s="1" t="s">
        <v>23</v>
      </c>
      <c r="E34" s="1" t="str">
        <f>_xlfn.XLOOKUP(TRIM(D34),Vendor_Master!$A$2:$A$11,Vendor_Master!$B$2:$B$11)</f>
        <v>print@bennettcoleman.in</v>
      </c>
      <c r="F34" s="1" t="s">
        <v>13</v>
      </c>
      <c r="G34" s="3">
        <v>46152</v>
      </c>
      <c r="H34" s="3">
        <v>46164</v>
      </c>
      <c r="I34" s="6">
        <f t="shared" si="0"/>
        <v>12</v>
      </c>
      <c r="J34" s="15">
        <v>215000</v>
      </c>
      <c r="K34" s="1" t="s">
        <v>14</v>
      </c>
      <c r="O34" s="1"/>
    </row>
    <row r="35" spans="1:15" ht="15.75" thickBot="1" x14ac:dyDescent="0.3">
      <c r="A35" s="1" t="s">
        <v>90</v>
      </c>
      <c r="B35" s="1" t="s">
        <v>220</v>
      </c>
      <c r="C35" s="1" t="s">
        <v>17</v>
      </c>
      <c r="D35" s="1" t="s">
        <v>18</v>
      </c>
      <c r="E35" s="1" t="str">
        <f>_xlfn.XLOOKUP(TRIM(D35),Vendor_Master!$A$2:$A$11,Vendor_Master!$B$2:$B$11)</f>
        <v>campaigns@techvertise.com</v>
      </c>
      <c r="F35" s="1" t="s">
        <v>26</v>
      </c>
      <c r="G35" s="3">
        <v>46153</v>
      </c>
      <c r="H35" s="3">
        <v>46183</v>
      </c>
      <c r="I35" s="6">
        <f t="shared" si="0"/>
        <v>30</v>
      </c>
      <c r="J35" s="15">
        <v>1100000</v>
      </c>
      <c r="K35" s="1" t="s">
        <v>19</v>
      </c>
      <c r="O35" s="1"/>
    </row>
    <row r="36" spans="1:15" ht="26.25" thickBot="1" x14ac:dyDescent="0.3">
      <c r="A36" s="1" t="s">
        <v>91</v>
      </c>
      <c r="B36" s="1" t="s">
        <v>92</v>
      </c>
      <c r="C36" s="1" t="s">
        <v>11</v>
      </c>
      <c r="D36" s="1" t="s">
        <v>30</v>
      </c>
      <c r="E36" s="1" t="str">
        <f>_xlfn.XLOOKUP(TRIM(D36),Vendor_Master!$A$2:$A$11,Vendor_Master!$B$2:$B$11)</f>
        <v>delhi.ops@signagemasters.com</v>
      </c>
      <c r="F36" s="1" t="s">
        <v>13</v>
      </c>
      <c r="G36" s="3">
        <v>46154</v>
      </c>
      <c r="H36" s="3">
        <v>46168</v>
      </c>
      <c r="I36" s="6">
        <f t="shared" si="0"/>
        <v>14</v>
      </c>
      <c r="J36" s="15">
        <v>145000</v>
      </c>
      <c r="K36" s="1" t="s">
        <v>31</v>
      </c>
      <c r="O36" s="1"/>
    </row>
    <row r="37" spans="1:15" ht="15.75" thickBot="1" x14ac:dyDescent="0.3">
      <c r="A37" s="1" t="s">
        <v>93</v>
      </c>
      <c r="B37" s="1" t="s">
        <v>94</v>
      </c>
      <c r="C37" s="1" t="s">
        <v>22</v>
      </c>
      <c r="D37" s="1" t="s">
        <v>34</v>
      </c>
      <c r="E37" s="1" t="str">
        <f>_xlfn.XLOOKUP(TRIM(D37),Vendor_Master!$A$2:$A$11,Vendor_Master!$B$2:$B$11)</f>
        <v>scheduling@htmedia.in</v>
      </c>
      <c r="F37" s="1" t="s">
        <v>213</v>
      </c>
      <c r="G37" s="3">
        <v>46125</v>
      </c>
      <c r="H37" s="3">
        <v>46140</v>
      </c>
      <c r="I37" s="6">
        <f t="shared" si="0"/>
        <v>15</v>
      </c>
      <c r="J37" s="15">
        <v>480000</v>
      </c>
      <c r="K37" s="1" t="s">
        <v>14</v>
      </c>
      <c r="O37" s="1"/>
    </row>
    <row r="38" spans="1:15" ht="15.75" thickBot="1" x14ac:dyDescent="0.3">
      <c r="A38" s="1" t="s">
        <v>95</v>
      </c>
      <c r="B38" s="1" t="s">
        <v>96</v>
      </c>
      <c r="C38" s="1" t="s">
        <v>17</v>
      </c>
      <c r="D38" s="1" t="s">
        <v>37</v>
      </c>
      <c r="E38" s="1" t="str">
        <f>_xlfn.XLOOKUP(TRIM(D38),Vendor_Master!$A$2:$A$11,Vendor_Master!$B$2:$B$11)</f>
        <v>production@pixelcraft.studio</v>
      </c>
      <c r="F38" s="1" t="s">
        <v>26</v>
      </c>
      <c r="G38" s="3">
        <v>46126</v>
      </c>
      <c r="H38" s="3">
        <v>46152</v>
      </c>
      <c r="I38" s="6">
        <f t="shared" si="0"/>
        <v>26</v>
      </c>
      <c r="J38" s="15">
        <v>920000</v>
      </c>
      <c r="K38" s="1" t="s">
        <v>19</v>
      </c>
      <c r="O38" s="1"/>
    </row>
    <row r="39" spans="1:15" ht="15.75" thickBot="1" x14ac:dyDescent="0.3">
      <c r="A39" s="1" t="s">
        <v>97</v>
      </c>
      <c r="B39" s="1" t="s">
        <v>98</v>
      </c>
      <c r="C39" s="1" t="s">
        <v>11</v>
      </c>
      <c r="D39" s="1" t="s">
        <v>40</v>
      </c>
      <c r="E39" s="1" t="str">
        <f>_xlfn.XLOOKUP(TRIM(D39),Vendor_Master!$A$2:$A$11,Vendor_Master!$B$2:$B$11)</f>
        <v>ooh@primeoutdoors.in</v>
      </c>
      <c r="F39" s="1" t="s">
        <v>13</v>
      </c>
      <c r="G39" s="3">
        <v>46127</v>
      </c>
      <c r="H39" s="3">
        <v>46144</v>
      </c>
      <c r="I39" s="6">
        <f t="shared" si="0"/>
        <v>17</v>
      </c>
      <c r="J39" s="15">
        <v>225000</v>
      </c>
      <c r="K39" s="1" t="s">
        <v>27</v>
      </c>
      <c r="O39" s="1"/>
    </row>
    <row r="40" spans="1:15" ht="15.75" thickBot="1" x14ac:dyDescent="0.3">
      <c r="A40" s="1" t="s">
        <v>99</v>
      </c>
      <c r="B40" s="1" t="s">
        <v>221</v>
      </c>
      <c r="C40" s="1" t="s">
        <v>17</v>
      </c>
      <c r="D40" s="1" t="s">
        <v>25</v>
      </c>
      <c r="E40" s="1" t="str">
        <f>_xlfn.XLOOKUP(TRIM(D40),Vendor_Master!$A$2:$A$11,Vendor_Master!$B$2:$B$11)</f>
        <v>globalops@globalads.com</v>
      </c>
      <c r="F40" s="1" t="s">
        <v>100</v>
      </c>
      <c r="G40" s="3">
        <v>46128</v>
      </c>
      <c r="H40" s="3">
        <v>46162</v>
      </c>
      <c r="I40" s="6">
        <f t="shared" si="0"/>
        <v>34</v>
      </c>
      <c r="J40" s="15">
        <v>760000</v>
      </c>
      <c r="K40" s="1" t="s">
        <v>31</v>
      </c>
      <c r="O40" s="1"/>
    </row>
    <row r="41" spans="1:15" ht="15.75" thickBot="1" x14ac:dyDescent="0.3">
      <c r="A41" s="1" t="s">
        <v>101</v>
      </c>
      <c r="B41" s="1" t="s">
        <v>102</v>
      </c>
      <c r="C41" s="1" t="s">
        <v>22</v>
      </c>
      <c r="D41" s="1" t="s">
        <v>216</v>
      </c>
      <c r="E41" s="1" t="str">
        <f>_xlfn.XLOOKUP(TRIM(D41),Vendor_Master!$A$2:$A$11,Vendor_Master!$B$2:$B$11)</f>
        <v>ops.internal@agency.com</v>
      </c>
      <c r="F41" s="1" t="s">
        <v>13</v>
      </c>
      <c r="G41" s="3">
        <v>46129</v>
      </c>
      <c r="H41" s="3">
        <v>46138</v>
      </c>
      <c r="I41" s="6">
        <f t="shared" si="0"/>
        <v>9</v>
      </c>
      <c r="J41" s="15">
        <v>130000</v>
      </c>
      <c r="K41" s="1" t="s">
        <v>14</v>
      </c>
      <c r="O41" s="1"/>
    </row>
    <row r="42" spans="1:15" ht="15.75" thickBot="1" x14ac:dyDescent="0.3">
      <c r="A42" s="1" t="s">
        <v>103</v>
      </c>
      <c r="B42" s="1" t="s">
        <v>104</v>
      </c>
      <c r="C42" s="1" t="s">
        <v>11</v>
      </c>
      <c r="D42" s="1" t="s">
        <v>12</v>
      </c>
      <c r="E42" s="1" t="str">
        <f>_xlfn.XLOOKUP(TRIM(D42),Vendor_Master!$A$2:$A$11,Vendor_Master!$B$2:$B$11)</f>
        <v>ops@pioneermedia.in</v>
      </c>
      <c r="F42" s="1" t="s">
        <v>213</v>
      </c>
      <c r="G42" s="3">
        <v>46130</v>
      </c>
      <c r="H42" s="3">
        <v>46147</v>
      </c>
      <c r="I42" s="6">
        <f t="shared" si="0"/>
        <v>17</v>
      </c>
      <c r="J42" s="15">
        <v>390000</v>
      </c>
      <c r="K42" s="1" t="s">
        <v>19</v>
      </c>
      <c r="O42" s="1"/>
    </row>
    <row r="43" spans="1:15" ht="15.75" thickBot="1" x14ac:dyDescent="0.3">
      <c r="A43" s="1" t="s">
        <v>105</v>
      </c>
      <c r="B43" s="1" t="s">
        <v>106</v>
      </c>
      <c r="C43" s="1" t="s">
        <v>17</v>
      </c>
      <c r="D43" s="1" t="s">
        <v>18</v>
      </c>
      <c r="E43" s="1" t="str">
        <f>_xlfn.XLOOKUP(TRIM(D43),Vendor_Master!$A$2:$A$11,Vendor_Master!$B$2:$B$11)</f>
        <v>campaigns@techvertise.com</v>
      </c>
      <c r="F43" s="1" t="s">
        <v>26</v>
      </c>
      <c r="G43" s="3">
        <v>46131</v>
      </c>
      <c r="H43" s="3">
        <v>46157</v>
      </c>
      <c r="I43" s="6">
        <f t="shared" si="0"/>
        <v>26</v>
      </c>
      <c r="J43" s="15">
        <v>580000</v>
      </c>
      <c r="K43" s="1" t="s">
        <v>19</v>
      </c>
      <c r="O43" s="1"/>
    </row>
    <row r="44" spans="1:15" ht="15.75" thickBot="1" x14ac:dyDescent="0.3">
      <c r="A44" s="1" t="s">
        <v>107</v>
      </c>
      <c r="B44" s="1" t="s">
        <v>108</v>
      </c>
      <c r="C44" s="1" t="s">
        <v>22</v>
      </c>
      <c r="D44" s="1" t="s">
        <v>23</v>
      </c>
      <c r="E44" s="1" t="str">
        <f>_xlfn.XLOOKUP(TRIM(D44),Vendor_Master!$A$2:$A$11,Vendor_Master!$B$2:$B$11)</f>
        <v>print@bennettcoleman.in</v>
      </c>
      <c r="F44" s="1" t="s">
        <v>13</v>
      </c>
      <c r="G44" s="3">
        <v>46132</v>
      </c>
      <c r="H44" s="3">
        <v>46143</v>
      </c>
      <c r="I44" s="6">
        <f t="shared" si="0"/>
        <v>11</v>
      </c>
      <c r="J44" s="15">
        <v>340000</v>
      </c>
      <c r="K44" s="1" t="s">
        <v>14</v>
      </c>
      <c r="O44" s="1"/>
    </row>
    <row r="45" spans="1:15" ht="15.75" thickBot="1" x14ac:dyDescent="0.3">
      <c r="A45" s="1" t="s">
        <v>109</v>
      </c>
      <c r="B45" s="1" t="s">
        <v>222</v>
      </c>
      <c r="C45" s="1" t="s">
        <v>17</v>
      </c>
      <c r="D45" s="1" t="s">
        <v>37</v>
      </c>
      <c r="E45" s="1" t="str">
        <f>_xlfn.XLOOKUP(TRIM(D45),Vendor_Master!$A$2:$A$11,Vendor_Master!$B$2:$B$11)</f>
        <v>production@pixelcraft.studio</v>
      </c>
      <c r="F45" s="1" t="s">
        <v>26</v>
      </c>
      <c r="G45" s="3">
        <v>46133</v>
      </c>
      <c r="H45" s="3">
        <v>46166</v>
      </c>
      <c r="I45" s="6">
        <f t="shared" si="0"/>
        <v>33</v>
      </c>
      <c r="J45" s="15">
        <v>1400000</v>
      </c>
      <c r="K45" s="1" t="s">
        <v>27</v>
      </c>
      <c r="O45" s="1"/>
    </row>
    <row r="46" spans="1:15" ht="26.25" thickBot="1" x14ac:dyDescent="0.3">
      <c r="A46" s="1" t="s">
        <v>110</v>
      </c>
      <c r="B46" s="1" t="s">
        <v>111</v>
      </c>
      <c r="C46" s="1" t="s">
        <v>11</v>
      </c>
      <c r="D46" s="1" t="s">
        <v>30</v>
      </c>
      <c r="E46" s="1" t="str">
        <f>_xlfn.XLOOKUP(TRIM(D46),Vendor_Master!$A$2:$A$11,Vendor_Master!$B$2:$B$11)</f>
        <v>delhi.ops@signagemasters.com</v>
      </c>
      <c r="F46" s="1" t="s">
        <v>13</v>
      </c>
      <c r="G46" s="3">
        <v>46134</v>
      </c>
      <c r="H46" s="3">
        <v>46154</v>
      </c>
      <c r="I46" s="6">
        <f t="shared" si="0"/>
        <v>20</v>
      </c>
      <c r="J46" s="15">
        <v>165000</v>
      </c>
      <c r="K46" s="1" t="s">
        <v>31</v>
      </c>
      <c r="O46" s="1"/>
    </row>
    <row r="47" spans="1:15" ht="15.75" thickBot="1" x14ac:dyDescent="0.3">
      <c r="A47" s="1" t="s">
        <v>112</v>
      </c>
      <c r="B47" s="1" t="s">
        <v>113</v>
      </c>
      <c r="C47" s="1" t="s">
        <v>22</v>
      </c>
      <c r="D47" s="1" t="s">
        <v>34</v>
      </c>
      <c r="E47" s="1" t="str">
        <f>_xlfn.XLOOKUP(TRIM(D47),Vendor_Master!$A$2:$A$11,Vendor_Master!$B$2:$B$11)</f>
        <v>scheduling@htmedia.in</v>
      </c>
      <c r="F47" s="1" t="s">
        <v>213</v>
      </c>
      <c r="G47" s="3">
        <v>46135</v>
      </c>
      <c r="H47" s="3">
        <v>46147</v>
      </c>
      <c r="I47" s="6">
        <f t="shared" si="0"/>
        <v>12</v>
      </c>
      <c r="J47" s="15">
        <v>210000</v>
      </c>
      <c r="K47" s="1" t="s">
        <v>14</v>
      </c>
      <c r="O47" s="1"/>
    </row>
    <row r="48" spans="1:15" ht="15.75" thickBot="1" x14ac:dyDescent="0.3">
      <c r="A48" s="1" t="s">
        <v>114</v>
      </c>
      <c r="B48" s="1" t="s">
        <v>223</v>
      </c>
      <c r="C48" s="1" t="s">
        <v>17</v>
      </c>
      <c r="D48" s="1" t="s">
        <v>25</v>
      </c>
      <c r="E48" s="1" t="str">
        <f>_xlfn.XLOOKUP(TRIM(D48),Vendor_Master!$A$2:$A$11,Vendor_Master!$B$2:$B$11)</f>
        <v>globalops@globalads.com</v>
      </c>
      <c r="F48" s="1" t="s">
        <v>26</v>
      </c>
      <c r="G48" s="3">
        <v>46136</v>
      </c>
      <c r="H48" s="3">
        <v>46160</v>
      </c>
      <c r="I48" s="6">
        <f t="shared" si="0"/>
        <v>24</v>
      </c>
      <c r="J48" s="15">
        <v>890000</v>
      </c>
      <c r="K48" s="1" t="s">
        <v>19</v>
      </c>
      <c r="O48" s="1"/>
    </row>
    <row r="49" spans="1:15" ht="15.75" thickBot="1" x14ac:dyDescent="0.3">
      <c r="A49" s="1" t="s">
        <v>115</v>
      </c>
      <c r="B49" s="1" t="s">
        <v>116</v>
      </c>
      <c r="C49" s="1" t="s">
        <v>11</v>
      </c>
      <c r="D49" s="1" t="s">
        <v>40</v>
      </c>
      <c r="E49" s="1" t="str">
        <f>_xlfn.XLOOKUP(TRIM(D49),Vendor_Master!$A$2:$A$11,Vendor_Master!$B$2:$B$11)</f>
        <v>ooh@primeoutdoors.in</v>
      </c>
      <c r="F49" s="1" t="s">
        <v>13</v>
      </c>
      <c r="G49" s="3">
        <v>46137</v>
      </c>
      <c r="H49" s="3">
        <v>46151</v>
      </c>
      <c r="I49" s="6">
        <f t="shared" si="0"/>
        <v>14</v>
      </c>
      <c r="J49" s="15">
        <v>280000</v>
      </c>
      <c r="K49" s="1" t="s">
        <v>27</v>
      </c>
      <c r="O49" s="1"/>
    </row>
    <row r="50" spans="1:15" ht="15.75" thickBot="1" x14ac:dyDescent="0.3">
      <c r="A50" s="1" t="s">
        <v>117</v>
      </c>
      <c r="B50" s="1" t="s">
        <v>118</v>
      </c>
      <c r="C50" s="1" t="s">
        <v>17</v>
      </c>
      <c r="D50" s="1" t="s">
        <v>18</v>
      </c>
      <c r="E50" s="1" t="str">
        <f>_xlfn.XLOOKUP(TRIM(D50),Vendor_Master!$A$2:$A$11,Vendor_Master!$B$2:$B$11)</f>
        <v>campaigns@techvertise.com</v>
      </c>
      <c r="F50" s="1" t="s">
        <v>119</v>
      </c>
      <c r="G50" s="3">
        <v>46138</v>
      </c>
      <c r="H50" s="3">
        <v>46174</v>
      </c>
      <c r="I50" s="6">
        <f t="shared" si="0"/>
        <v>36</v>
      </c>
      <c r="J50" s="15">
        <v>1150000</v>
      </c>
      <c r="K50" s="1" t="s">
        <v>31</v>
      </c>
      <c r="O50" s="1"/>
    </row>
    <row r="51" spans="1:15" ht="15.75" thickBot="1" x14ac:dyDescent="0.3">
      <c r="A51" s="1" t="s">
        <v>120</v>
      </c>
      <c r="B51" s="1" t="s">
        <v>121</v>
      </c>
      <c r="C51" s="1" t="s">
        <v>22</v>
      </c>
      <c r="D51" s="1" t="s">
        <v>216</v>
      </c>
      <c r="E51" s="1" t="str">
        <f>_xlfn.XLOOKUP(TRIM(D51),Vendor_Master!$A$2:$A$11,Vendor_Master!$B$2:$B$11)</f>
        <v>ops.internal@agency.com</v>
      </c>
      <c r="F51" s="1" t="s">
        <v>13</v>
      </c>
      <c r="G51" s="3">
        <v>46139</v>
      </c>
      <c r="H51" s="3">
        <v>46150</v>
      </c>
      <c r="I51" s="6">
        <f t="shared" si="0"/>
        <v>11</v>
      </c>
      <c r="J51" s="15">
        <v>185000</v>
      </c>
      <c r="K51" s="1" t="s">
        <v>14</v>
      </c>
      <c r="O51" s="1"/>
    </row>
    <row r="52" spans="1:15" ht="15.75" thickBot="1" x14ac:dyDescent="0.3">
      <c r="A52" s="1" t="s">
        <v>122</v>
      </c>
      <c r="B52" s="1" t="s">
        <v>123</v>
      </c>
      <c r="C52" s="1" t="s">
        <v>11</v>
      </c>
      <c r="D52" s="1" t="s">
        <v>12</v>
      </c>
      <c r="E52" s="1" t="str">
        <f>_xlfn.XLOOKUP(TRIM(D52),Vendor_Master!$A$2:$A$11,Vendor_Master!$B$2:$B$11)</f>
        <v>ops@pioneermedia.in</v>
      </c>
      <c r="F52" s="1" t="s">
        <v>213</v>
      </c>
      <c r="G52" s="3">
        <v>46140</v>
      </c>
      <c r="H52" s="3">
        <v>46162</v>
      </c>
      <c r="I52" s="6">
        <f t="shared" si="0"/>
        <v>22</v>
      </c>
      <c r="J52" s="15">
        <v>410000</v>
      </c>
      <c r="K52" s="1" t="s">
        <v>19</v>
      </c>
      <c r="O52" s="1"/>
    </row>
    <row r="53" spans="1:15" ht="15.75" thickBot="1" x14ac:dyDescent="0.3">
      <c r="A53" s="1" t="s">
        <v>124</v>
      </c>
      <c r="B53" s="1" t="s">
        <v>224</v>
      </c>
      <c r="C53" s="1" t="s">
        <v>17</v>
      </c>
      <c r="D53" s="1" t="s">
        <v>37</v>
      </c>
      <c r="E53" s="1" t="str">
        <f>_xlfn.XLOOKUP(TRIM(D53),Vendor_Master!$A$2:$A$11,Vendor_Master!$B$2:$B$11)</f>
        <v>production@pixelcraft.studio</v>
      </c>
      <c r="F53" s="1" t="s">
        <v>26</v>
      </c>
      <c r="G53" s="3">
        <v>46141</v>
      </c>
      <c r="H53" s="3">
        <v>46176</v>
      </c>
      <c r="I53" s="6">
        <f t="shared" si="0"/>
        <v>35</v>
      </c>
      <c r="J53" s="15">
        <v>670000</v>
      </c>
      <c r="K53" s="1" t="s">
        <v>27</v>
      </c>
      <c r="O53" s="1"/>
    </row>
    <row r="54" spans="1:15" ht="15.75" thickBot="1" x14ac:dyDescent="0.3">
      <c r="A54" s="1" t="s">
        <v>125</v>
      </c>
      <c r="B54" s="1" t="s">
        <v>126</v>
      </c>
      <c r="C54" s="1" t="s">
        <v>22</v>
      </c>
      <c r="D54" s="1" t="s">
        <v>23</v>
      </c>
      <c r="E54" s="1" t="str">
        <f>_xlfn.XLOOKUP(TRIM(D54),Vendor_Master!$A$2:$A$11,Vendor_Master!$B$2:$B$11)</f>
        <v>print@bennettcoleman.in</v>
      </c>
      <c r="F54" s="1" t="s">
        <v>13</v>
      </c>
      <c r="G54" s="3">
        <v>46142</v>
      </c>
      <c r="H54" s="3">
        <v>46156</v>
      </c>
      <c r="I54" s="6">
        <f t="shared" si="0"/>
        <v>14</v>
      </c>
      <c r="J54" s="15">
        <v>255000</v>
      </c>
      <c r="K54" s="1" t="s">
        <v>14</v>
      </c>
      <c r="O54" s="1"/>
    </row>
    <row r="55" spans="1:15" ht="15.75" thickBot="1" x14ac:dyDescent="0.3">
      <c r="A55" s="1" t="s">
        <v>127</v>
      </c>
      <c r="B55" s="1" t="s">
        <v>128</v>
      </c>
      <c r="C55" s="1" t="s">
        <v>17</v>
      </c>
      <c r="D55" s="1" t="s">
        <v>25</v>
      </c>
      <c r="E55" s="1" t="str">
        <f>_xlfn.XLOOKUP(TRIM(D55),Vendor_Master!$A$2:$A$11,Vendor_Master!$B$2:$B$11)</f>
        <v>globalops@globalads.com</v>
      </c>
      <c r="F55" s="1" t="s">
        <v>26</v>
      </c>
      <c r="G55" s="3">
        <v>46143</v>
      </c>
      <c r="H55" s="3">
        <v>46170</v>
      </c>
      <c r="I55" s="6">
        <f t="shared" si="0"/>
        <v>27</v>
      </c>
      <c r="J55" s="15">
        <v>1020000</v>
      </c>
      <c r="K55" s="1" t="s">
        <v>19</v>
      </c>
      <c r="O55" s="1"/>
    </row>
    <row r="56" spans="1:15" ht="26.25" thickBot="1" x14ac:dyDescent="0.3">
      <c r="A56" s="1" t="s">
        <v>129</v>
      </c>
      <c r="B56" s="1" t="s">
        <v>130</v>
      </c>
      <c r="C56" s="1" t="s">
        <v>11</v>
      </c>
      <c r="D56" s="1" t="s">
        <v>30</v>
      </c>
      <c r="E56" s="1" t="str">
        <f>_xlfn.XLOOKUP(TRIM(D56),Vendor_Master!$A$2:$A$11,Vendor_Master!$B$2:$B$11)</f>
        <v>delhi.ops@signagemasters.com</v>
      </c>
      <c r="F56" s="1" t="s">
        <v>13</v>
      </c>
      <c r="G56" s="3">
        <v>46144</v>
      </c>
      <c r="H56" s="3">
        <v>46161</v>
      </c>
      <c r="I56" s="6">
        <f t="shared" si="0"/>
        <v>17</v>
      </c>
      <c r="J56" s="15">
        <v>110000</v>
      </c>
      <c r="K56" s="1" t="s">
        <v>31</v>
      </c>
      <c r="O56" s="1"/>
    </row>
    <row r="57" spans="1:15" ht="15.75" thickBot="1" x14ac:dyDescent="0.3">
      <c r="A57" s="1" t="s">
        <v>131</v>
      </c>
      <c r="B57" s="1" t="s">
        <v>132</v>
      </c>
      <c r="C57" s="1" t="s">
        <v>22</v>
      </c>
      <c r="D57" s="1" t="s">
        <v>34</v>
      </c>
      <c r="E57" s="1" t="str">
        <f>_xlfn.XLOOKUP(TRIM(D57),Vendor_Master!$A$2:$A$11,Vendor_Master!$B$2:$B$11)</f>
        <v>scheduling@htmedia.in</v>
      </c>
      <c r="F57" s="1" t="s">
        <v>213</v>
      </c>
      <c r="G57" s="3">
        <v>46145</v>
      </c>
      <c r="H57" s="3">
        <v>46154</v>
      </c>
      <c r="I57" s="6">
        <f t="shared" si="0"/>
        <v>9</v>
      </c>
      <c r="J57" s="15">
        <v>140000</v>
      </c>
      <c r="K57" s="1" t="s">
        <v>14</v>
      </c>
      <c r="O57" s="1"/>
    </row>
    <row r="58" spans="1:15" ht="15.75" thickBot="1" x14ac:dyDescent="0.3">
      <c r="A58" s="1" t="s">
        <v>133</v>
      </c>
      <c r="B58" s="1" t="s">
        <v>134</v>
      </c>
      <c r="C58" s="1" t="s">
        <v>17</v>
      </c>
      <c r="D58" s="1" t="s">
        <v>18</v>
      </c>
      <c r="E58" s="1" t="str">
        <f>_xlfn.XLOOKUP(TRIM(D58),Vendor_Master!$A$2:$A$11,Vendor_Master!$B$2:$B$11)</f>
        <v>campaigns@techvertise.com</v>
      </c>
      <c r="F58" s="1" t="s">
        <v>26</v>
      </c>
      <c r="G58" s="3">
        <v>46146</v>
      </c>
      <c r="H58" s="3">
        <v>46167</v>
      </c>
      <c r="I58" s="6">
        <f t="shared" si="0"/>
        <v>21</v>
      </c>
      <c r="J58" s="15">
        <v>730000</v>
      </c>
      <c r="K58" s="1" t="s">
        <v>19</v>
      </c>
      <c r="O58" s="1"/>
    </row>
    <row r="59" spans="1:15" ht="15.75" thickBot="1" x14ac:dyDescent="0.3">
      <c r="A59" s="1" t="s">
        <v>135</v>
      </c>
      <c r="B59" s="1" t="s">
        <v>136</v>
      </c>
      <c r="C59" s="1" t="s">
        <v>11</v>
      </c>
      <c r="D59" s="1" t="s">
        <v>40</v>
      </c>
      <c r="E59" s="1" t="str">
        <f>_xlfn.XLOOKUP(TRIM(D59),Vendor_Master!$A$2:$A$11,Vendor_Master!$B$2:$B$11)</f>
        <v>ooh@primeoutdoors.in</v>
      </c>
      <c r="F59" s="1" t="s">
        <v>13</v>
      </c>
      <c r="G59" s="3">
        <v>46146</v>
      </c>
      <c r="H59" s="3">
        <v>46158</v>
      </c>
      <c r="I59" s="6">
        <f t="shared" si="0"/>
        <v>12</v>
      </c>
      <c r="J59" s="15">
        <v>310000</v>
      </c>
      <c r="K59" s="1" t="s">
        <v>27</v>
      </c>
      <c r="O59" s="1"/>
    </row>
    <row r="60" spans="1:15" ht="15.75" thickBot="1" x14ac:dyDescent="0.3">
      <c r="A60" s="1" t="s">
        <v>137</v>
      </c>
      <c r="B60" s="1" t="s">
        <v>138</v>
      </c>
      <c r="C60" s="1" t="s">
        <v>17</v>
      </c>
      <c r="D60" s="1" t="s">
        <v>37</v>
      </c>
      <c r="E60" s="1" t="str">
        <f>_xlfn.XLOOKUP(TRIM(D60),Vendor_Master!$A$2:$A$11,Vendor_Master!$B$2:$B$11)</f>
        <v>production@pixelcraft.studio</v>
      </c>
      <c r="F60" s="1" t="s">
        <v>42</v>
      </c>
      <c r="G60" s="3">
        <v>46147</v>
      </c>
      <c r="H60" s="3">
        <v>46181</v>
      </c>
      <c r="I60" s="6">
        <f t="shared" si="0"/>
        <v>34</v>
      </c>
      <c r="J60" s="15">
        <v>1600000</v>
      </c>
      <c r="K60" s="1" t="s">
        <v>31</v>
      </c>
      <c r="O60" s="1"/>
    </row>
    <row r="61" spans="1:15" ht="15.75" thickBot="1" x14ac:dyDescent="0.3">
      <c r="A61" s="1" t="s">
        <v>139</v>
      </c>
      <c r="B61" s="1" t="s">
        <v>140</v>
      </c>
      <c r="C61" s="1" t="s">
        <v>22</v>
      </c>
      <c r="D61" s="1" t="s">
        <v>216</v>
      </c>
      <c r="E61" s="1" t="str">
        <f>_xlfn.XLOOKUP(TRIM(D61),Vendor_Master!$A$2:$A$11,Vendor_Master!$B$2:$B$11)</f>
        <v>ops.internal@agency.com</v>
      </c>
      <c r="F61" s="1" t="s">
        <v>13</v>
      </c>
      <c r="G61" s="3">
        <v>46148</v>
      </c>
      <c r="H61" s="3">
        <v>46160</v>
      </c>
      <c r="I61" s="6">
        <f t="shared" si="0"/>
        <v>12</v>
      </c>
      <c r="J61" s="15">
        <v>220000</v>
      </c>
      <c r="K61" s="1" t="s">
        <v>14</v>
      </c>
      <c r="O61" s="1"/>
    </row>
    <row r="62" spans="1:15" ht="15.75" thickBot="1" x14ac:dyDescent="0.3">
      <c r="A62" s="1" t="s">
        <v>141</v>
      </c>
      <c r="B62" s="1" t="s">
        <v>142</v>
      </c>
      <c r="C62" s="1" t="s">
        <v>11</v>
      </c>
      <c r="D62" s="1" t="s">
        <v>12</v>
      </c>
      <c r="E62" s="1" t="str">
        <f>_xlfn.XLOOKUP(TRIM(D62),Vendor_Master!$A$2:$A$11,Vendor_Master!$B$2:$B$11)</f>
        <v>ops@pioneermedia.in</v>
      </c>
      <c r="F62" s="1" t="s">
        <v>213</v>
      </c>
      <c r="G62" s="3">
        <v>46149</v>
      </c>
      <c r="H62" s="3">
        <v>46172</v>
      </c>
      <c r="I62" s="6">
        <f t="shared" si="0"/>
        <v>23</v>
      </c>
      <c r="J62" s="15">
        <v>540000</v>
      </c>
      <c r="K62" s="1" t="s">
        <v>19</v>
      </c>
      <c r="O62" s="1"/>
    </row>
    <row r="63" spans="1:15" ht="15.75" thickBot="1" x14ac:dyDescent="0.3">
      <c r="A63" s="1" t="s">
        <v>143</v>
      </c>
      <c r="B63" s="1" t="s">
        <v>144</v>
      </c>
      <c r="C63" s="1" t="s">
        <v>17</v>
      </c>
      <c r="D63" s="1" t="s">
        <v>25</v>
      </c>
      <c r="E63" s="1" t="str">
        <f>_xlfn.XLOOKUP(TRIM(D63),Vendor_Master!$A$2:$A$11,Vendor_Master!$B$2:$B$11)</f>
        <v>globalops@globalads.com</v>
      </c>
      <c r="F63" s="1" t="s">
        <v>26</v>
      </c>
      <c r="G63" s="3">
        <v>46150</v>
      </c>
      <c r="H63" s="3">
        <v>46185</v>
      </c>
      <c r="I63" s="6">
        <f t="shared" si="0"/>
        <v>35</v>
      </c>
      <c r="J63" s="15">
        <v>590000</v>
      </c>
      <c r="K63" s="1" t="s">
        <v>27</v>
      </c>
      <c r="O63" s="1"/>
    </row>
    <row r="64" spans="1:15" ht="15.75" thickBot="1" x14ac:dyDescent="0.3">
      <c r="A64" s="1" t="s">
        <v>145</v>
      </c>
      <c r="B64" s="1" t="s">
        <v>225</v>
      </c>
      <c r="C64" s="1" t="s">
        <v>22</v>
      </c>
      <c r="D64" s="1" t="s">
        <v>23</v>
      </c>
      <c r="E64" s="1" t="str">
        <f>_xlfn.XLOOKUP(TRIM(D64),Vendor_Master!$A$2:$A$11,Vendor_Master!$B$2:$B$11)</f>
        <v>print@bennettcoleman.in</v>
      </c>
      <c r="F64" s="1" t="s">
        <v>13</v>
      </c>
      <c r="G64" s="3">
        <v>46151</v>
      </c>
      <c r="H64" s="3">
        <v>46166</v>
      </c>
      <c r="I64" s="6">
        <f t="shared" si="0"/>
        <v>15</v>
      </c>
      <c r="J64" s="15">
        <v>380000</v>
      </c>
      <c r="K64" s="1" t="s">
        <v>14</v>
      </c>
      <c r="O64" s="1"/>
    </row>
    <row r="65" spans="1:15" ht="15.75" thickBot="1" x14ac:dyDescent="0.3">
      <c r="A65" s="1" t="s">
        <v>146</v>
      </c>
      <c r="B65" s="1" t="s">
        <v>147</v>
      </c>
      <c r="C65" s="1" t="s">
        <v>17</v>
      </c>
      <c r="D65" s="1" t="s">
        <v>18</v>
      </c>
      <c r="E65" s="1" t="str">
        <f>_xlfn.XLOOKUP(TRIM(D65),Vendor_Master!$A$2:$A$11,Vendor_Master!$B$2:$B$11)</f>
        <v>campaigns@techvertise.com</v>
      </c>
      <c r="F65" s="1" t="s">
        <v>26</v>
      </c>
      <c r="G65" s="3">
        <v>46152</v>
      </c>
      <c r="H65" s="3">
        <v>46188</v>
      </c>
      <c r="I65" s="6">
        <f t="shared" si="0"/>
        <v>36</v>
      </c>
      <c r="J65" s="15">
        <v>850000</v>
      </c>
      <c r="K65" s="1" t="s">
        <v>19</v>
      </c>
      <c r="O65" s="1"/>
    </row>
    <row r="66" spans="1:15" ht="26.25" thickBot="1" x14ac:dyDescent="0.3">
      <c r="A66" s="1" t="s">
        <v>148</v>
      </c>
      <c r="B66" s="1" t="s">
        <v>149</v>
      </c>
      <c r="C66" s="1" t="s">
        <v>11</v>
      </c>
      <c r="D66" s="1" t="s">
        <v>30</v>
      </c>
      <c r="E66" s="1" t="str">
        <f>_xlfn.XLOOKUP(TRIM(D66),Vendor_Master!$A$2:$A$11,Vendor_Master!$B$2:$B$11)</f>
        <v>delhi.ops@signagemasters.com</v>
      </c>
      <c r="F66" s="1" t="s">
        <v>13</v>
      </c>
      <c r="G66" s="3">
        <v>46153</v>
      </c>
      <c r="H66" s="3">
        <v>46175</v>
      </c>
      <c r="I66" s="6">
        <f t="shared" si="0"/>
        <v>22</v>
      </c>
      <c r="J66" s="15">
        <v>195000</v>
      </c>
      <c r="K66" s="1" t="s">
        <v>31</v>
      </c>
      <c r="O66" s="1"/>
    </row>
    <row r="67" spans="1:15" ht="15.75" thickBot="1" x14ac:dyDescent="0.3">
      <c r="A67" s="1" t="s">
        <v>150</v>
      </c>
      <c r="B67" s="1" t="s">
        <v>151</v>
      </c>
      <c r="C67" s="1" t="s">
        <v>22</v>
      </c>
      <c r="D67" s="1" t="s">
        <v>34</v>
      </c>
      <c r="E67" s="1" t="str">
        <f>_xlfn.XLOOKUP(TRIM(D67),Vendor_Master!$A$2:$A$11,Vendor_Master!$B$2:$B$11)</f>
        <v>scheduling@htmedia.in</v>
      </c>
      <c r="F67" s="1" t="s">
        <v>213</v>
      </c>
      <c r="G67" s="3">
        <v>46154</v>
      </c>
      <c r="H67" s="3">
        <v>46168</v>
      </c>
      <c r="I67" s="6">
        <f t="shared" ref="I67:I100" si="1">_xlfn.DAYS(H67,G67)</f>
        <v>14</v>
      </c>
      <c r="J67" s="15">
        <v>265000</v>
      </c>
      <c r="K67" s="1" t="s">
        <v>14</v>
      </c>
      <c r="O67" s="1"/>
    </row>
    <row r="68" spans="1:15" ht="15.75" thickBot="1" x14ac:dyDescent="0.3">
      <c r="A68" s="1" t="s">
        <v>152</v>
      </c>
      <c r="B68" s="1" t="s">
        <v>153</v>
      </c>
      <c r="C68" s="1" t="s">
        <v>17</v>
      </c>
      <c r="D68" s="1" t="s">
        <v>37</v>
      </c>
      <c r="E68" s="1" t="str">
        <f>_xlfn.XLOOKUP(TRIM(D68),Vendor_Master!$A$2:$A$11,Vendor_Master!$B$2:$B$11)</f>
        <v>production@pixelcraft.studio</v>
      </c>
      <c r="F68" s="1" t="s">
        <v>26</v>
      </c>
      <c r="G68" s="3">
        <v>46155</v>
      </c>
      <c r="H68" s="3">
        <v>46183</v>
      </c>
      <c r="I68" s="6">
        <f t="shared" si="1"/>
        <v>28</v>
      </c>
      <c r="J68" s="15">
        <v>910000</v>
      </c>
      <c r="K68" s="1" t="s">
        <v>19</v>
      </c>
      <c r="O68" s="1"/>
    </row>
    <row r="69" spans="1:15" ht="15.75" thickBot="1" x14ac:dyDescent="0.3">
      <c r="A69" s="1" t="s">
        <v>154</v>
      </c>
      <c r="B69" s="1" t="s">
        <v>155</v>
      </c>
      <c r="C69" s="1" t="s">
        <v>11</v>
      </c>
      <c r="D69" s="1" t="s">
        <v>40</v>
      </c>
      <c r="E69" s="1" t="str">
        <f>_xlfn.XLOOKUP(TRIM(D69),Vendor_Master!$A$2:$A$11,Vendor_Master!$B$2:$B$11)</f>
        <v>ooh@primeoutdoors.in</v>
      </c>
      <c r="F69" s="1" t="s">
        <v>13</v>
      </c>
      <c r="G69" s="3">
        <v>46156</v>
      </c>
      <c r="H69" s="3">
        <v>46171</v>
      </c>
      <c r="I69" s="6">
        <f t="shared" si="1"/>
        <v>15</v>
      </c>
      <c r="J69" s="15">
        <v>215000</v>
      </c>
      <c r="K69" s="1" t="s">
        <v>27</v>
      </c>
      <c r="O69" s="1"/>
    </row>
    <row r="70" spans="1:15" ht="15.75" thickBot="1" x14ac:dyDescent="0.3">
      <c r="A70" s="1" t="s">
        <v>156</v>
      </c>
      <c r="B70" s="1" t="s">
        <v>226</v>
      </c>
      <c r="C70" s="1" t="s">
        <v>17</v>
      </c>
      <c r="D70" s="1" t="s">
        <v>25</v>
      </c>
      <c r="E70" s="1" t="str">
        <f>_xlfn.XLOOKUP(TRIM(D70),Vendor_Master!$A$2:$A$11,Vendor_Master!$B$2:$B$11)</f>
        <v>globalops@globalads.com</v>
      </c>
      <c r="F70" s="1" t="s">
        <v>42</v>
      </c>
      <c r="G70" s="3">
        <v>46157</v>
      </c>
      <c r="H70" s="3">
        <v>46193</v>
      </c>
      <c r="I70" s="6">
        <f t="shared" si="1"/>
        <v>36</v>
      </c>
      <c r="J70" s="15">
        <v>1850000</v>
      </c>
      <c r="K70" s="1" t="s">
        <v>31</v>
      </c>
      <c r="O70" s="1"/>
    </row>
    <row r="71" spans="1:15" ht="15.75" thickBot="1" x14ac:dyDescent="0.3">
      <c r="A71" s="1" t="s">
        <v>157</v>
      </c>
      <c r="B71" s="1" t="s">
        <v>158</v>
      </c>
      <c r="C71" s="1" t="s">
        <v>22</v>
      </c>
      <c r="D71" s="1" t="s">
        <v>216</v>
      </c>
      <c r="E71" s="1" t="str">
        <f>_xlfn.XLOOKUP(TRIM(D71),Vendor_Master!$A$2:$A$11,Vendor_Master!$B$2:$B$11)</f>
        <v>ops.internal@agency.com</v>
      </c>
      <c r="F71" s="1" t="s">
        <v>13</v>
      </c>
      <c r="G71" s="3">
        <v>46158</v>
      </c>
      <c r="H71" s="3">
        <v>46170</v>
      </c>
      <c r="I71" s="6">
        <f t="shared" si="1"/>
        <v>12</v>
      </c>
      <c r="J71" s="15">
        <v>410000</v>
      </c>
      <c r="K71" s="1" t="s">
        <v>14</v>
      </c>
      <c r="O71" s="1"/>
    </row>
    <row r="72" spans="1:15" ht="15.75" thickBot="1" x14ac:dyDescent="0.3">
      <c r="A72" s="1" t="s">
        <v>159</v>
      </c>
      <c r="B72" s="1" t="s">
        <v>160</v>
      </c>
      <c r="C72" s="1" t="s">
        <v>11</v>
      </c>
      <c r="D72" s="1" t="s">
        <v>12</v>
      </c>
      <c r="E72" s="1" t="str">
        <f>_xlfn.XLOOKUP(TRIM(D72),Vendor_Master!$A$2:$A$11,Vendor_Master!$B$2:$B$11)</f>
        <v>ops@pioneermedia.in</v>
      </c>
      <c r="F72" s="1" t="s">
        <v>213</v>
      </c>
      <c r="G72" s="3">
        <v>46159</v>
      </c>
      <c r="H72" s="3">
        <v>46185</v>
      </c>
      <c r="I72" s="6">
        <f t="shared" si="1"/>
        <v>26</v>
      </c>
      <c r="J72" s="15">
        <v>620000</v>
      </c>
      <c r="K72" s="1" t="s">
        <v>19</v>
      </c>
      <c r="O72" s="1"/>
    </row>
    <row r="73" spans="1:15" ht="15.75" thickBot="1" x14ac:dyDescent="0.3">
      <c r="A73" s="1" t="s">
        <v>161</v>
      </c>
      <c r="B73" s="1" t="s">
        <v>162</v>
      </c>
      <c r="C73" s="1" t="s">
        <v>17</v>
      </c>
      <c r="D73" s="1" t="s">
        <v>18</v>
      </c>
      <c r="E73" s="1" t="str">
        <f>_xlfn.XLOOKUP(TRIM(D73),Vendor_Master!$A$2:$A$11,Vendor_Master!$B$2:$B$11)</f>
        <v>campaigns@techvertise.com</v>
      </c>
      <c r="F73" s="1" t="s">
        <v>26</v>
      </c>
      <c r="G73" s="3">
        <v>46160</v>
      </c>
      <c r="H73" s="3">
        <v>46195</v>
      </c>
      <c r="I73" s="6">
        <f t="shared" si="1"/>
        <v>35</v>
      </c>
      <c r="J73" s="15">
        <v>640000</v>
      </c>
      <c r="K73" s="1" t="s">
        <v>19</v>
      </c>
      <c r="O73" s="1"/>
    </row>
    <row r="74" spans="1:15" ht="15.75" thickBot="1" x14ac:dyDescent="0.3">
      <c r="A74" s="1" t="s">
        <v>163</v>
      </c>
      <c r="B74" s="1" t="s">
        <v>164</v>
      </c>
      <c r="C74" s="1" t="s">
        <v>22</v>
      </c>
      <c r="D74" s="1" t="s">
        <v>23</v>
      </c>
      <c r="E74" s="1" t="str">
        <f>_xlfn.XLOOKUP(TRIM(D74),Vendor_Master!$A$2:$A$11,Vendor_Master!$B$2:$B$11)</f>
        <v>print@bennettcoleman.in</v>
      </c>
      <c r="F74" s="1" t="s">
        <v>13</v>
      </c>
      <c r="G74" s="3">
        <v>46161</v>
      </c>
      <c r="H74" s="3">
        <v>46175</v>
      </c>
      <c r="I74" s="6">
        <f t="shared" si="1"/>
        <v>14</v>
      </c>
      <c r="J74" s="15">
        <v>175000</v>
      </c>
      <c r="K74" s="1" t="s">
        <v>14</v>
      </c>
      <c r="O74" s="1"/>
    </row>
    <row r="75" spans="1:15" ht="15.75" thickBot="1" x14ac:dyDescent="0.3">
      <c r="A75" s="1" t="s">
        <v>165</v>
      </c>
      <c r="B75" s="1" t="s">
        <v>227</v>
      </c>
      <c r="C75" s="1" t="s">
        <v>17</v>
      </c>
      <c r="D75" s="1" t="s">
        <v>37</v>
      </c>
      <c r="E75" s="1" t="str">
        <f>_xlfn.XLOOKUP(TRIM(D75),Vendor_Master!$A$2:$A$11,Vendor_Master!$B$2:$B$11)</f>
        <v>production@pixelcraft.studio</v>
      </c>
      <c r="F75" s="1" t="s">
        <v>26</v>
      </c>
      <c r="G75" s="3">
        <v>46162</v>
      </c>
      <c r="H75" s="3">
        <v>46198</v>
      </c>
      <c r="I75" s="6">
        <f t="shared" si="1"/>
        <v>36</v>
      </c>
      <c r="J75" s="15">
        <v>790000</v>
      </c>
      <c r="K75" s="1" t="s">
        <v>27</v>
      </c>
      <c r="O75" s="1"/>
    </row>
    <row r="76" spans="1:15" ht="26.25" thickBot="1" x14ac:dyDescent="0.3">
      <c r="A76" s="1" t="s">
        <v>166</v>
      </c>
      <c r="B76" s="1" t="s">
        <v>167</v>
      </c>
      <c r="C76" s="1" t="s">
        <v>11</v>
      </c>
      <c r="D76" s="1" t="s">
        <v>30</v>
      </c>
      <c r="E76" s="1" t="str">
        <f>_xlfn.XLOOKUP(TRIM(D76),Vendor_Master!$A$2:$A$11,Vendor_Master!$B$2:$B$11)</f>
        <v>delhi.ops@signagemasters.com</v>
      </c>
      <c r="F76" s="1" t="s">
        <v>13</v>
      </c>
      <c r="G76" s="3">
        <v>46163</v>
      </c>
      <c r="H76" s="3">
        <v>46181</v>
      </c>
      <c r="I76" s="6">
        <f t="shared" si="1"/>
        <v>18</v>
      </c>
      <c r="J76" s="15">
        <v>230000</v>
      </c>
      <c r="K76" s="1" t="s">
        <v>31</v>
      </c>
      <c r="O76" s="1"/>
    </row>
    <row r="77" spans="1:15" ht="15.75" thickBot="1" x14ac:dyDescent="0.3">
      <c r="A77" s="1" t="s">
        <v>168</v>
      </c>
      <c r="B77" s="1" t="s">
        <v>169</v>
      </c>
      <c r="C77" s="1" t="s">
        <v>22</v>
      </c>
      <c r="D77" s="1" t="s">
        <v>34</v>
      </c>
      <c r="E77" s="1" t="str">
        <f>_xlfn.XLOOKUP(TRIM(D77),Vendor_Master!$A$2:$A$11,Vendor_Master!$B$2:$B$11)</f>
        <v>scheduling@htmedia.in</v>
      </c>
      <c r="F77" s="1" t="s">
        <v>213</v>
      </c>
      <c r="G77" s="3">
        <v>46164</v>
      </c>
      <c r="H77" s="3">
        <v>46178</v>
      </c>
      <c r="I77" s="6">
        <f t="shared" si="1"/>
        <v>14</v>
      </c>
      <c r="J77" s="15">
        <v>320000</v>
      </c>
      <c r="K77" s="1" t="s">
        <v>14</v>
      </c>
      <c r="O77" s="1"/>
    </row>
    <row r="78" spans="1:15" ht="15.75" thickBot="1" x14ac:dyDescent="0.3">
      <c r="A78" s="1" t="s">
        <v>170</v>
      </c>
      <c r="B78" s="1" t="s">
        <v>171</v>
      </c>
      <c r="C78" s="1" t="s">
        <v>17</v>
      </c>
      <c r="D78" s="1" t="s">
        <v>25</v>
      </c>
      <c r="E78" s="1" t="str">
        <f>_xlfn.XLOOKUP(TRIM(D78),Vendor_Master!$A$2:$A$11,Vendor_Master!$B$2:$B$11)</f>
        <v>globalops@globalads.com</v>
      </c>
      <c r="F78" s="1" t="s">
        <v>26</v>
      </c>
      <c r="G78" s="3">
        <v>46165</v>
      </c>
      <c r="H78" s="3">
        <v>46191</v>
      </c>
      <c r="I78" s="6">
        <f t="shared" si="1"/>
        <v>26</v>
      </c>
      <c r="J78" s="15">
        <v>510000</v>
      </c>
      <c r="K78" s="1" t="s">
        <v>19</v>
      </c>
      <c r="O78" s="1"/>
    </row>
    <row r="79" spans="1:15" ht="15.75" thickBot="1" x14ac:dyDescent="0.3">
      <c r="A79" s="1" t="s">
        <v>172</v>
      </c>
      <c r="B79" s="1" t="s">
        <v>173</v>
      </c>
      <c r="C79" s="1" t="s">
        <v>11</v>
      </c>
      <c r="D79" s="1" t="s">
        <v>40</v>
      </c>
      <c r="E79" s="1" t="str">
        <f>_xlfn.XLOOKUP(TRIM(D79),Vendor_Master!$A$2:$A$11,Vendor_Master!$B$2:$B$11)</f>
        <v>ooh@primeoutdoors.in</v>
      </c>
      <c r="F79" s="1" t="s">
        <v>13</v>
      </c>
      <c r="G79" s="3">
        <v>46166</v>
      </c>
      <c r="H79" s="3">
        <v>46184</v>
      </c>
      <c r="I79" s="6">
        <f t="shared" si="1"/>
        <v>18</v>
      </c>
      <c r="J79" s="15">
        <v>185000</v>
      </c>
      <c r="K79" s="1" t="s">
        <v>27</v>
      </c>
      <c r="O79" s="1"/>
    </row>
    <row r="80" spans="1:15" ht="15.75" thickBot="1" x14ac:dyDescent="0.3">
      <c r="A80" s="1" t="s">
        <v>174</v>
      </c>
      <c r="B80" s="1" t="s">
        <v>228</v>
      </c>
      <c r="C80" s="1" t="s">
        <v>17</v>
      </c>
      <c r="D80" s="1" t="s">
        <v>18</v>
      </c>
      <c r="E80" s="1" t="str">
        <f>_xlfn.XLOOKUP(TRIM(D80),Vendor_Master!$A$2:$A$11,Vendor_Master!$B$2:$B$11)</f>
        <v>campaigns@techvertise.com</v>
      </c>
      <c r="F80" s="1" t="s">
        <v>42</v>
      </c>
      <c r="G80" s="3">
        <v>46167</v>
      </c>
      <c r="H80" s="3">
        <v>46203</v>
      </c>
      <c r="I80" s="6">
        <f t="shared" si="1"/>
        <v>36</v>
      </c>
      <c r="J80" s="15">
        <v>1420000</v>
      </c>
      <c r="K80" s="1" t="s">
        <v>31</v>
      </c>
      <c r="O80" s="1"/>
    </row>
    <row r="81" spans="1:15" ht="15.75" thickBot="1" x14ac:dyDescent="0.3">
      <c r="A81" s="1" t="s">
        <v>175</v>
      </c>
      <c r="B81" s="1" t="s">
        <v>176</v>
      </c>
      <c r="C81" s="1" t="s">
        <v>22</v>
      </c>
      <c r="D81" s="1" t="s">
        <v>216</v>
      </c>
      <c r="E81" s="1" t="str">
        <f>_xlfn.XLOOKUP(TRIM(D81),Vendor_Master!$A$2:$A$11,Vendor_Master!$B$2:$B$11)</f>
        <v>ops.internal@agency.com</v>
      </c>
      <c r="F81" s="1" t="s">
        <v>13</v>
      </c>
      <c r="G81" s="3">
        <v>46168</v>
      </c>
      <c r="H81" s="3">
        <v>46182</v>
      </c>
      <c r="I81" s="6">
        <f t="shared" si="1"/>
        <v>14</v>
      </c>
      <c r="J81" s="15">
        <v>155000</v>
      </c>
      <c r="K81" s="1" t="s">
        <v>14</v>
      </c>
      <c r="O81" s="1"/>
    </row>
    <row r="82" spans="1:15" ht="15.75" thickBot="1" x14ac:dyDescent="0.3">
      <c r="A82" s="1" t="s">
        <v>177</v>
      </c>
      <c r="B82" s="1" t="s">
        <v>178</v>
      </c>
      <c r="C82" s="1" t="s">
        <v>11</v>
      </c>
      <c r="D82" s="1" t="s">
        <v>12</v>
      </c>
      <c r="E82" s="1" t="str">
        <f>_xlfn.XLOOKUP(TRIM(D82),Vendor_Master!$A$2:$A$11,Vendor_Master!$B$2:$B$11)</f>
        <v>ops@pioneermedia.in</v>
      </c>
      <c r="F82" s="1" t="s">
        <v>213</v>
      </c>
      <c r="G82" s="3">
        <v>46169</v>
      </c>
      <c r="H82" s="3">
        <v>46197</v>
      </c>
      <c r="I82" s="6">
        <f t="shared" si="1"/>
        <v>28</v>
      </c>
      <c r="J82" s="15">
        <v>710000</v>
      </c>
      <c r="K82" s="1" t="s">
        <v>19</v>
      </c>
      <c r="O82" s="1"/>
    </row>
    <row r="83" spans="1:15" ht="15.75" thickBot="1" x14ac:dyDescent="0.3">
      <c r="A83" s="1" t="s">
        <v>179</v>
      </c>
      <c r="B83" s="1" t="s">
        <v>180</v>
      </c>
      <c r="C83" s="1" t="s">
        <v>17</v>
      </c>
      <c r="D83" s="1" t="s">
        <v>37</v>
      </c>
      <c r="E83" s="1" t="str">
        <f>_xlfn.XLOOKUP(TRIM(D83),Vendor_Master!$A$2:$A$11,Vendor_Master!$B$2:$B$11)</f>
        <v>production@pixelcraft.studio</v>
      </c>
      <c r="F83" s="1" t="s">
        <v>26</v>
      </c>
      <c r="G83" s="3">
        <v>46170</v>
      </c>
      <c r="H83" s="3">
        <v>46208</v>
      </c>
      <c r="I83" s="6">
        <f t="shared" si="1"/>
        <v>38</v>
      </c>
      <c r="J83" s="15">
        <v>490000</v>
      </c>
      <c r="K83" s="1" t="s">
        <v>27</v>
      </c>
      <c r="O83" s="1"/>
    </row>
    <row r="84" spans="1:15" ht="15.75" thickBot="1" x14ac:dyDescent="0.3">
      <c r="A84" s="1" t="s">
        <v>181</v>
      </c>
      <c r="B84" s="1" t="s">
        <v>182</v>
      </c>
      <c r="C84" s="1" t="s">
        <v>22</v>
      </c>
      <c r="D84" s="1" t="s">
        <v>23</v>
      </c>
      <c r="E84" s="1" t="str">
        <f>_xlfn.XLOOKUP(TRIM(D84),Vendor_Master!$A$2:$A$11,Vendor_Master!$B$2:$B$11)</f>
        <v>print@bennettcoleman.in</v>
      </c>
      <c r="F84" s="1" t="s">
        <v>13</v>
      </c>
      <c r="G84" s="3">
        <v>46171</v>
      </c>
      <c r="H84" s="3">
        <v>46188</v>
      </c>
      <c r="I84" s="6">
        <f t="shared" si="1"/>
        <v>17</v>
      </c>
      <c r="J84" s="15">
        <v>285000</v>
      </c>
      <c r="K84" s="1" t="s">
        <v>14</v>
      </c>
      <c r="O84" s="1"/>
    </row>
    <row r="85" spans="1:15" ht="15.75" thickBot="1" x14ac:dyDescent="0.3">
      <c r="A85" s="1" t="s">
        <v>183</v>
      </c>
      <c r="B85" s="1" t="s">
        <v>229</v>
      </c>
      <c r="C85" s="1" t="s">
        <v>17</v>
      </c>
      <c r="D85" s="1" t="s">
        <v>25</v>
      </c>
      <c r="E85" s="1" t="str">
        <f>_xlfn.XLOOKUP(TRIM(D85),Vendor_Master!$A$2:$A$11,Vendor_Master!$B$2:$B$11)</f>
        <v>globalops@globalads.com</v>
      </c>
      <c r="F85" s="1" t="s">
        <v>26</v>
      </c>
      <c r="G85" s="3">
        <v>46172</v>
      </c>
      <c r="H85" s="3">
        <v>46201</v>
      </c>
      <c r="I85" s="6">
        <f t="shared" si="1"/>
        <v>29</v>
      </c>
      <c r="J85" s="15">
        <v>660000</v>
      </c>
      <c r="K85" s="1" t="s">
        <v>19</v>
      </c>
      <c r="O85" s="1"/>
    </row>
    <row r="86" spans="1:15" ht="26.25" thickBot="1" x14ac:dyDescent="0.3">
      <c r="A86" s="1" t="s">
        <v>184</v>
      </c>
      <c r="B86" s="1" t="s">
        <v>185</v>
      </c>
      <c r="C86" s="1" t="s">
        <v>11</v>
      </c>
      <c r="D86" s="1" t="s">
        <v>30</v>
      </c>
      <c r="E86" s="1" t="str">
        <f>_xlfn.XLOOKUP(TRIM(D86),Vendor_Master!$A$2:$A$11,Vendor_Master!$B$2:$B$11)</f>
        <v>delhi.ops@signagemasters.com</v>
      </c>
      <c r="F86" s="1" t="s">
        <v>13</v>
      </c>
      <c r="G86" s="3">
        <v>46173</v>
      </c>
      <c r="H86" s="3">
        <v>46193</v>
      </c>
      <c r="I86" s="6">
        <f t="shared" si="1"/>
        <v>20</v>
      </c>
      <c r="J86" s="15">
        <v>245000</v>
      </c>
      <c r="K86" s="1" t="s">
        <v>31</v>
      </c>
      <c r="O86" s="1"/>
    </row>
    <row r="87" spans="1:15" ht="15.75" thickBot="1" x14ac:dyDescent="0.3">
      <c r="A87" s="1" t="s">
        <v>186</v>
      </c>
      <c r="B87" s="1" t="s">
        <v>187</v>
      </c>
      <c r="C87" s="1" t="s">
        <v>22</v>
      </c>
      <c r="D87" s="1" t="s">
        <v>34</v>
      </c>
      <c r="E87" s="1" t="str">
        <f>_xlfn.XLOOKUP(TRIM(D87),Vendor_Master!$A$2:$A$11,Vendor_Master!$B$2:$B$11)</f>
        <v>scheduling@htmedia.in</v>
      </c>
      <c r="F87" s="1" t="s">
        <v>213</v>
      </c>
      <c r="G87" s="3">
        <v>46174</v>
      </c>
      <c r="H87" s="3">
        <v>46187</v>
      </c>
      <c r="I87" s="6">
        <f t="shared" si="1"/>
        <v>13</v>
      </c>
      <c r="J87" s="15">
        <v>195000</v>
      </c>
      <c r="K87" s="1" t="s">
        <v>14</v>
      </c>
      <c r="O87" s="1"/>
    </row>
    <row r="88" spans="1:15" ht="15.75" thickBot="1" x14ac:dyDescent="0.3">
      <c r="A88" s="1" t="s">
        <v>188</v>
      </c>
      <c r="B88" s="1" t="s">
        <v>230</v>
      </c>
      <c r="C88" s="1" t="s">
        <v>17</v>
      </c>
      <c r="D88" s="1" t="s">
        <v>18</v>
      </c>
      <c r="E88" s="1" t="str">
        <f>_xlfn.XLOOKUP(TRIM(D88),Vendor_Master!$A$2:$A$11,Vendor_Master!$B$2:$B$11)</f>
        <v>campaigns@techvertise.com</v>
      </c>
      <c r="F88" s="1" t="s">
        <v>26</v>
      </c>
      <c r="G88" s="3">
        <v>46175</v>
      </c>
      <c r="H88" s="3">
        <v>46202</v>
      </c>
      <c r="I88" s="6">
        <f t="shared" si="1"/>
        <v>27</v>
      </c>
      <c r="J88" s="15">
        <v>820000</v>
      </c>
      <c r="K88" s="1" t="s">
        <v>19</v>
      </c>
      <c r="O88" s="1"/>
    </row>
    <row r="89" spans="1:15" ht="15.75" thickBot="1" x14ac:dyDescent="0.3">
      <c r="A89" s="1" t="s">
        <v>189</v>
      </c>
      <c r="B89" s="1" t="s">
        <v>190</v>
      </c>
      <c r="C89" s="1" t="s">
        <v>11</v>
      </c>
      <c r="D89" s="1" t="s">
        <v>40</v>
      </c>
      <c r="E89" s="1" t="str">
        <f>_xlfn.XLOOKUP(TRIM(D89),Vendor_Master!$A$2:$A$11,Vendor_Master!$B$2:$B$11)</f>
        <v>ooh@primeoutdoors.in</v>
      </c>
      <c r="F89" s="1" t="s">
        <v>13</v>
      </c>
      <c r="G89" s="3">
        <v>46176</v>
      </c>
      <c r="H89" s="3">
        <v>46195</v>
      </c>
      <c r="I89" s="6">
        <f t="shared" si="1"/>
        <v>19</v>
      </c>
      <c r="J89" s="15">
        <v>430000</v>
      </c>
      <c r="K89" s="1" t="s">
        <v>27</v>
      </c>
      <c r="O89" s="1"/>
    </row>
    <row r="90" spans="1:15" ht="15.75" thickBot="1" x14ac:dyDescent="0.3">
      <c r="A90" s="1" t="s">
        <v>191</v>
      </c>
      <c r="B90" s="1" t="s">
        <v>231</v>
      </c>
      <c r="C90" s="1" t="s">
        <v>17</v>
      </c>
      <c r="D90" s="1" t="s">
        <v>37</v>
      </c>
      <c r="E90" s="1" t="str">
        <f>_xlfn.XLOOKUP(TRIM(D90),Vendor_Master!$A$2:$A$11,Vendor_Master!$B$2:$B$11)</f>
        <v>production@pixelcraft.studio</v>
      </c>
      <c r="F90" s="1" t="s">
        <v>42</v>
      </c>
      <c r="G90" s="3">
        <v>46177</v>
      </c>
      <c r="H90" s="3">
        <v>46218</v>
      </c>
      <c r="I90" s="6">
        <f t="shared" si="1"/>
        <v>41</v>
      </c>
      <c r="J90" s="15">
        <v>1900000</v>
      </c>
      <c r="K90" s="1" t="s">
        <v>31</v>
      </c>
      <c r="O90" s="1"/>
    </row>
    <row r="91" spans="1:15" ht="15.75" thickBot="1" x14ac:dyDescent="0.3">
      <c r="A91" s="1" t="s">
        <v>192</v>
      </c>
      <c r="B91" s="1" t="s">
        <v>193</v>
      </c>
      <c r="C91" s="1" t="s">
        <v>22</v>
      </c>
      <c r="D91" s="1" t="s">
        <v>216</v>
      </c>
      <c r="E91" s="1" t="str">
        <f>_xlfn.XLOOKUP(TRIM(D91),Vendor_Master!$A$2:$A$11,Vendor_Master!$B$2:$B$11)</f>
        <v>ops.internal@agency.com</v>
      </c>
      <c r="F91" s="1" t="s">
        <v>13</v>
      </c>
      <c r="G91" s="3">
        <v>46178</v>
      </c>
      <c r="H91" s="3">
        <v>46193</v>
      </c>
      <c r="I91" s="6">
        <f t="shared" si="1"/>
        <v>15</v>
      </c>
      <c r="J91" s="15">
        <v>125000</v>
      </c>
      <c r="K91" s="1" t="s">
        <v>14</v>
      </c>
      <c r="O91" s="1"/>
    </row>
    <row r="92" spans="1:15" ht="15.75" thickBot="1" x14ac:dyDescent="0.3">
      <c r="A92" s="1" t="s">
        <v>194</v>
      </c>
      <c r="B92" s="1" t="s">
        <v>195</v>
      </c>
      <c r="C92" s="1" t="s">
        <v>11</v>
      </c>
      <c r="D92" s="1" t="s">
        <v>12</v>
      </c>
      <c r="E92" s="1" t="str">
        <f>_xlfn.XLOOKUP(TRIM(D92),Vendor_Master!$A$2:$A$11,Vendor_Master!$B$2:$B$11)</f>
        <v>ops@pioneermedia.in</v>
      </c>
      <c r="F92" s="1" t="s">
        <v>213</v>
      </c>
      <c r="G92" s="3">
        <v>46179</v>
      </c>
      <c r="H92" s="3">
        <v>46213</v>
      </c>
      <c r="I92" s="6">
        <f t="shared" si="1"/>
        <v>34</v>
      </c>
      <c r="J92" s="15">
        <v>850000</v>
      </c>
      <c r="K92" s="1" t="s">
        <v>19</v>
      </c>
      <c r="O92" s="1"/>
    </row>
    <row r="93" spans="1:15" ht="15.75" thickBot="1" x14ac:dyDescent="0.3">
      <c r="A93" s="1" t="s">
        <v>196</v>
      </c>
      <c r="B93" s="1" t="s">
        <v>197</v>
      </c>
      <c r="C93" s="1" t="s">
        <v>17</v>
      </c>
      <c r="D93" s="1" t="s">
        <v>25</v>
      </c>
      <c r="E93" s="1" t="str">
        <f>_xlfn.XLOOKUP(TRIM(D93),Vendor_Master!$A$2:$A$11,Vendor_Master!$B$2:$B$11)</f>
        <v>globalops@globalads.com</v>
      </c>
      <c r="F93" s="1" t="s">
        <v>26</v>
      </c>
      <c r="G93" s="3">
        <v>46180</v>
      </c>
      <c r="H93" s="3">
        <v>46215</v>
      </c>
      <c r="I93" s="6">
        <f t="shared" si="1"/>
        <v>35</v>
      </c>
      <c r="J93" s="15">
        <v>710000</v>
      </c>
      <c r="K93" s="1" t="s">
        <v>27</v>
      </c>
      <c r="O93" s="1"/>
    </row>
    <row r="94" spans="1:15" ht="15.75" thickBot="1" x14ac:dyDescent="0.3">
      <c r="A94" s="1" t="s">
        <v>198</v>
      </c>
      <c r="B94" s="1" t="s">
        <v>232</v>
      </c>
      <c r="C94" s="1" t="s">
        <v>22</v>
      </c>
      <c r="D94" s="1" t="s">
        <v>23</v>
      </c>
      <c r="E94" s="1" t="str">
        <f>_xlfn.XLOOKUP(TRIM(D94),Vendor_Master!$A$2:$A$11,Vendor_Master!$B$2:$B$11)</f>
        <v>print@bennettcoleman.in</v>
      </c>
      <c r="F94" s="1" t="s">
        <v>13</v>
      </c>
      <c r="G94" s="3">
        <v>46181</v>
      </c>
      <c r="H94" s="3">
        <v>46198</v>
      </c>
      <c r="I94" s="6">
        <f t="shared" si="1"/>
        <v>17</v>
      </c>
      <c r="J94" s="15">
        <v>425000</v>
      </c>
      <c r="K94" s="1" t="s">
        <v>14</v>
      </c>
      <c r="O94" s="1"/>
    </row>
    <row r="95" spans="1:15" ht="15.75" thickBot="1" x14ac:dyDescent="0.3">
      <c r="A95" s="1" t="s">
        <v>199</v>
      </c>
      <c r="B95" s="1" t="s">
        <v>200</v>
      </c>
      <c r="C95" s="1" t="s">
        <v>17</v>
      </c>
      <c r="D95" s="1" t="s">
        <v>18</v>
      </c>
      <c r="E95" s="1" t="str">
        <f>_xlfn.XLOOKUP(TRIM(D95),Vendor_Master!$A$2:$A$11,Vendor_Master!$B$2:$B$11)</f>
        <v>campaigns@techvertise.com</v>
      </c>
      <c r="F95" s="1" t="s">
        <v>26</v>
      </c>
      <c r="G95" s="3">
        <v>46182</v>
      </c>
      <c r="H95" s="3">
        <v>46213</v>
      </c>
      <c r="I95" s="6">
        <f t="shared" si="1"/>
        <v>31</v>
      </c>
      <c r="J95" s="15">
        <v>530000</v>
      </c>
      <c r="K95" s="1" t="s">
        <v>19</v>
      </c>
      <c r="O95" s="1"/>
    </row>
    <row r="96" spans="1:15" ht="26.25" thickBot="1" x14ac:dyDescent="0.3">
      <c r="A96" s="1" t="s">
        <v>201</v>
      </c>
      <c r="B96" s="1" t="s">
        <v>202</v>
      </c>
      <c r="C96" s="1" t="s">
        <v>11</v>
      </c>
      <c r="D96" s="1" t="s">
        <v>30</v>
      </c>
      <c r="E96" s="1" t="str">
        <f>_xlfn.XLOOKUP(TRIM(D96),Vendor_Master!$A$2:$A$11,Vendor_Master!$B$2:$B$11)</f>
        <v>delhi.ops@signagemasters.com</v>
      </c>
      <c r="F96" s="1" t="s">
        <v>13</v>
      </c>
      <c r="G96" s="3">
        <v>46183</v>
      </c>
      <c r="H96" s="3">
        <v>46205</v>
      </c>
      <c r="I96" s="6">
        <f t="shared" si="1"/>
        <v>22</v>
      </c>
      <c r="J96" s="15">
        <v>160000</v>
      </c>
      <c r="K96" s="1" t="s">
        <v>31</v>
      </c>
      <c r="O96" s="1"/>
    </row>
    <row r="97" spans="1:15" ht="15.75" thickBot="1" x14ac:dyDescent="0.3">
      <c r="A97" s="1" t="s">
        <v>203</v>
      </c>
      <c r="B97" s="1" t="s">
        <v>204</v>
      </c>
      <c r="C97" s="1" t="s">
        <v>22</v>
      </c>
      <c r="D97" s="1" t="s">
        <v>34</v>
      </c>
      <c r="E97" s="1" t="str">
        <f>_xlfn.XLOOKUP(TRIM(D97),Vendor_Master!$A$2:$A$11,Vendor_Master!$B$2:$B$11)</f>
        <v>scheduling@htmedia.in</v>
      </c>
      <c r="F97" s="1" t="s">
        <v>213</v>
      </c>
      <c r="G97" s="3">
        <v>46184</v>
      </c>
      <c r="H97" s="3">
        <v>46199</v>
      </c>
      <c r="I97" s="6">
        <f t="shared" si="1"/>
        <v>15</v>
      </c>
      <c r="J97" s="15">
        <v>210000</v>
      </c>
      <c r="K97" s="1" t="s">
        <v>14</v>
      </c>
      <c r="O97" s="1"/>
    </row>
    <row r="98" spans="1:15" ht="15.75" thickBot="1" x14ac:dyDescent="0.3">
      <c r="A98" s="1" t="s">
        <v>205</v>
      </c>
      <c r="B98" s="1" t="s">
        <v>206</v>
      </c>
      <c r="C98" s="1" t="s">
        <v>17</v>
      </c>
      <c r="D98" s="1" t="s">
        <v>37</v>
      </c>
      <c r="E98" s="1" t="str">
        <f>_xlfn.XLOOKUP(TRIM(D98),Vendor_Master!$A$2:$A$11,Vendor_Master!$B$2:$B$11)</f>
        <v>production@pixelcraft.studio</v>
      </c>
      <c r="F98" s="1" t="s">
        <v>26</v>
      </c>
      <c r="G98" s="3">
        <v>46185</v>
      </c>
      <c r="H98" s="3">
        <v>46218</v>
      </c>
      <c r="I98" s="6">
        <f t="shared" si="1"/>
        <v>33</v>
      </c>
      <c r="J98" s="15">
        <v>880000</v>
      </c>
      <c r="K98" s="1" t="s">
        <v>19</v>
      </c>
      <c r="O98" s="1"/>
    </row>
    <row r="99" spans="1:15" ht="15.75" thickBot="1" x14ac:dyDescent="0.3">
      <c r="A99" s="1" t="s">
        <v>207</v>
      </c>
      <c r="B99" s="1" t="s">
        <v>208</v>
      </c>
      <c r="C99" s="1" t="s">
        <v>11</v>
      </c>
      <c r="D99" s="1" t="s">
        <v>40</v>
      </c>
      <c r="E99" s="1" t="str">
        <f>_xlfn.XLOOKUP(TRIM(D99),Vendor_Master!$A$2:$A$11,Vendor_Master!$B$2:$B$11)</f>
        <v>ooh@primeoutdoors.in</v>
      </c>
      <c r="F99" s="1" t="s">
        <v>13</v>
      </c>
      <c r="G99" s="3">
        <v>46186</v>
      </c>
      <c r="H99" s="3">
        <v>46208</v>
      </c>
      <c r="I99" s="6">
        <f t="shared" si="1"/>
        <v>22</v>
      </c>
      <c r="J99" s="15">
        <v>295000</v>
      </c>
      <c r="K99" s="1" t="s">
        <v>27</v>
      </c>
      <c r="O99" s="1"/>
    </row>
    <row r="100" spans="1:15" ht="15.75" thickBot="1" x14ac:dyDescent="0.3">
      <c r="A100" s="1" t="s">
        <v>209</v>
      </c>
      <c r="B100" s="1" t="s">
        <v>210</v>
      </c>
      <c r="C100" s="1" t="s">
        <v>17</v>
      </c>
      <c r="D100" s="1" t="s">
        <v>25</v>
      </c>
      <c r="E100" s="1" t="str">
        <f>_xlfn.XLOOKUP(TRIM(D100),Vendor_Master!$A$2:$A$11,Vendor_Master!$B$2:$B$11)</f>
        <v>globalops@globalads.com</v>
      </c>
      <c r="F100" s="1" t="s">
        <v>26</v>
      </c>
      <c r="G100" s="3">
        <v>46187</v>
      </c>
      <c r="H100" s="3">
        <v>46225</v>
      </c>
      <c r="I100" s="6">
        <f t="shared" si="1"/>
        <v>38</v>
      </c>
      <c r="J100" s="15">
        <v>1240000</v>
      </c>
      <c r="K100" s="1" t="s">
        <v>31</v>
      </c>
      <c r="O100" s="1"/>
    </row>
    <row r="101" spans="1:15" ht="15.75" thickBot="1" x14ac:dyDescent="0.3">
      <c r="A101" s="1" t="s">
        <v>211</v>
      </c>
      <c r="B101" s="1" t="s">
        <v>212</v>
      </c>
      <c r="C101" s="1" t="s">
        <v>22</v>
      </c>
      <c r="D101" s="1" t="s">
        <v>216</v>
      </c>
      <c r="E101" s="1" t="str">
        <f>_xlfn.XLOOKUP(TRIM(D101),Vendor_Master!$A$2:$A$11,Vendor_Master!$B$2:$B$11)</f>
        <v>ops.internal@agency.com</v>
      </c>
      <c r="F101" s="1" t="s">
        <v>13</v>
      </c>
      <c r="G101" s="3">
        <v>46188</v>
      </c>
      <c r="H101" s="3">
        <v>46203</v>
      </c>
      <c r="I101" s="6">
        <f>_xlfn.DAYS(H101,G101)</f>
        <v>15</v>
      </c>
      <c r="J101" s="15">
        <v>240000</v>
      </c>
      <c r="K101" s="1" t="s">
        <v>14</v>
      </c>
      <c r="O101" s="1"/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70D8-3D02-4B8E-9A1E-71CBD36FBF34}">
  <dimension ref="A1:C11"/>
  <sheetViews>
    <sheetView workbookViewId="0">
      <selection activeCell="A11" sqref="A11"/>
    </sheetView>
  </sheetViews>
  <sheetFormatPr defaultRowHeight="15" x14ac:dyDescent="0.25"/>
  <cols>
    <col min="1" max="1" width="20.85546875" bestFit="1" customWidth="1"/>
    <col min="2" max="2" width="33.140625" bestFit="1" customWidth="1"/>
    <col min="3" max="3" width="19.7109375" bestFit="1" customWidth="1"/>
  </cols>
  <sheetData>
    <row r="1" spans="1:3" ht="15.75" thickBot="1" x14ac:dyDescent="0.3">
      <c r="A1" s="9" t="s">
        <v>3</v>
      </c>
      <c r="B1" s="9" t="s">
        <v>234</v>
      </c>
      <c r="C1" s="9" t="s">
        <v>235</v>
      </c>
    </row>
    <row r="2" spans="1:3" ht="15.75" thickBot="1" x14ac:dyDescent="0.3">
      <c r="A2" s="10" t="s">
        <v>12</v>
      </c>
      <c r="B2" s="13" t="s">
        <v>236</v>
      </c>
      <c r="C2" s="10" t="s">
        <v>237</v>
      </c>
    </row>
    <row r="3" spans="1:3" ht="15.75" thickBot="1" x14ac:dyDescent="0.3">
      <c r="A3" s="10" t="s">
        <v>18</v>
      </c>
      <c r="B3" s="13" t="s">
        <v>238</v>
      </c>
      <c r="C3" s="10" t="s">
        <v>239</v>
      </c>
    </row>
    <row r="4" spans="1:3" ht="15.75" thickBot="1" x14ac:dyDescent="0.3">
      <c r="A4" s="10" t="s">
        <v>23</v>
      </c>
      <c r="B4" s="13" t="s">
        <v>240</v>
      </c>
      <c r="C4" s="10" t="s">
        <v>237</v>
      </c>
    </row>
    <row r="5" spans="1:3" ht="15.75" thickBot="1" x14ac:dyDescent="0.3">
      <c r="A5" s="10" t="s">
        <v>25</v>
      </c>
      <c r="B5" s="13" t="s">
        <v>241</v>
      </c>
      <c r="C5" s="10" t="s">
        <v>237</v>
      </c>
    </row>
    <row r="6" spans="1:3" ht="15.75" thickBot="1" x14ac:dyDescent="0.3">
      <c r="A6" s="10" t="s">
        <v>30</v>
      </c>
      <c r="B6" s="13" t="s">
        <v>242</v>
      </c>
      <c r="C6" s="10" t="s">
        <v>243</v>
      </c>
    </row>
    <row r="7" spans="1:3" ht="15.75" thickBot="1" x14ac:dyDescent="0.3">
      <c r="A7" s="10" t="s">
        <v>34</v>
      </c>
      <c r="B7" s="13" t="s">
        <v>244</v>
      </c>
      <c r="C7" s="10" t="s">
        <v>239</v>
      </c>
    </row>
    <row r="8" spans="1:3" ht="15.75" thickBot="1" x14ac:dyDescent="0.3">
      <c r="A8" s="10" t="s">
        <v>37</v>
      </c>
      <c r="B8" s="13" t="s">
        <v>245</v>
      </c>
      <c r="C8" s="10" t="s">
        <v>237</v>
      </c>
    </row>
    <row r="9" spans="1:3" ht="15.75" thickBot="1" x14ac:dyDescent="0.3">
      <c r="A9" s="10" t="s">
        <v>40</v>
      </c>
      <c r="B9" s="13" t="s">
        <v>246</v>
      </c>
      <c r="C9" s="10" t="s">
        <v>239</v>
      </c>
    </row>
    <row r="10" spans="1:3" ht="15.75" thickBot="1" x14ac:dyDescent="0.3">
      <c r="A10" s="10" t="s">
        <v>45</v>
      </c>
      <c r="B10" s="13" t="s">
        <v>247</v>
      </c>
      <c r="C10" s="10" t="s">
        <v>239</v>
      </c>
    </row>
    <row r="11" spans="1:3" ht="15.75" thickBot="1" x14ac:dyDescent="0.3">
      <c r="A11" s="1" t="s">
        <v>216</v>
      </c>
      <c r="B11" s="12" t="s">
        <v>248</v>
      </c>
      <c r="C11" s="11" t="s">
        <v>239</v>
      </c>
    </row>
  </sheetData>
  <hyperlinks>
    <hyperlink ref="B11" r:id="rId1" xr:uid="{C08AB7E9-EA04-4AA3-AC44-66EBAAD11DE0}"/>
    <hyperlink ref="B2" r:id="rId2" xr:uid="{A38184BB-2962-43F2-8CE4-5E05E6C910C6}"/>
    <hyperlink ref="B3" r:id="rId3" xr:uid="{6B5B7794-3097-4D79-9285-1EEC857CEC0A}"/>
    <hyperlink ref="B4" r:id="rId4" xr:uid="{8A7DFF8A-60E6-441F-9BED-B217285AB9D8}"/>
    <hyperlink ref="B5" r:id="rId5" xr:uid="{29F40C8D-92CC-4633-8125-A1166CC8B1DC}"/>
    <hyperlink ref="B6" r:id="rId6" xr:uid="{D908F6B3-1F07-4C62-B4F6-34D26AAB38E0}"/>
    <hyperlink ref="B7" r:id="rId7" xr:uid="{71A858BC-356C-4769-82CF-7D54855399F2}"/>
    <hyperlink ref="B8" r:id="rId8" xr:uid="{9D0EB32B-FA5A-4C6A-B361-BFA23D1AB130}"/>
    <hyperlink ref="B9" r:id="rId9" xr:uid="{2B670630-3AA7-4569-97FA-023A42CE4AB2}"/>
    <hyperlink ref="B10" r:id="rId10" xr:uid="{3F53201F-02F3-4E95-93C8-4761DF9F3BB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5CE1-FEC3-4808-8409-BE41E126FCA6}">
  <dimension ref="A1:L6"/>
  <sheetViews>
    <sheetView tabSelected="1" workbookViewId="0">
      <selection activeCell="L7" sqref="L7"/>
    </sheetView>
  </sheetViews>
  <sheetFormatPr defaultRowHeight="15" x14ac:dyDescent="0.25"/>
  <cols>
    <col min="1" max="1" width="13.42578125" bestFit="1" customWidth="1"/>
    <col min="2" max="2" width="21.85546875" bestFit="1" customWidth="1"/>
    <col min="4" max="4" width="13.42578125" bestFit="1" customWidth="1"/>
    <col min="5" max="5" width="21.85546875" bestFit="1" customWidth="1"/>
    <col min="11" max="11" width="13.42578125" bestFit="1" customWidth="1"/>
    <col min="12" max="12" width="21.85546875" bestFit="1" customWidth="1"/>
  </cols>
  <sheetData>
    <row r="1" spans="1:12" x14ac:dyDescent="0.25">
      <c r="A1" s="17" t="s">
        <v>249</v>
      </c>
      <c r="B1" t="s">
        <v>251</v>
      </c>
      <c r="K1" s="17" t="s">
        <v>249</v>
      </c>
      <c r="L1" t="s">
        <v>252</v>
      </c>
    </row>
    <row r="2" spans="1:12" x14ac:dyDescent="0.25">
      <c r="A2" s="18" t="s">
        <v>14</v>
      </c>
      <c r="B2" s="8">
        <v>31</v>
      </c>
      <c r="K2" s="18" t="s">
        <v>11</v>
      </c>
      <c r="L2" s="16">
        <v>8595000</v>
      </c>
    </row>
    <row r="3" spans="1:12" x14ac:dyDescent="0.25">
      <c r="A3" s="18" t="s">
        <v>27</v>
      </c>
      <c r="B3" s="8">
        <v>19</v>
      </c>
      <c r="K3" s="18" t="s">
        <v>17</v>
      </c>
      <c r="L3" s="16">
        <v>38000000</v>
      </c>
    </row>
    <row r="4" spans="1:12" x14ac:dyDescent="0.25">
      <c r="A4" s="18" t="s">
        <v>19</v>
      </c>
      <c r="B4" s="8">
        <v>30</v>
      </c>
      <c r="K4" s="18" t="s">
        <v>22</v>
      </c>
      <c r="L4" s="16">
        <v>7905000</v>
      </c>
    </row>
    <row r="5" spans="1:12" x14ac:dyDescent="0.25">
      <c r="A5" s="18" t="s">
        <v>31</v>
      </c>
      <c r="B5" s="8">
        <v>20</v>
      </c>
      <c r="K5" s="18" t="s">
        <v>250</v>
      </c>
      <c r="L5" s="16">
        <v>54500000</v>
      </c>
    </row>
    <row r="6" spans="1:12" x14ac:dyDescent="0.25">
      <c r="A6" s="18" t="s">
        <v>250</v>
      </c>
      <c r="B6" s="8">
        <v>100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Data</vt:lpstr>
      <vt:lpstr>Vendor_Master</vt:lpstr>
      <vt:lpstr>MIS_Dashboard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Joshi</dc:creator>
  <cp:lastModifiedBy>Naman Joshi</cp:lastModifiedBy>
  <dcterms:created xsi:type="dcterms:W3CDTF">2026-05-29T10:30:21Z</dcterms:created>
  <dcterms:modified xsi:type="dcterms:W3CDTF">2026-05-29T12:46:26Z</dcterms:modified>
</cp:coreProperties>
</file>